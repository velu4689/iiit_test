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 Model" sheetId="1" state="visible" r:id="rId3"/>
  </sheets>
  <definedNames>
    <definedName function="false" hidden="false" localSheetId="0" name="_xlnm.Print_Area" vbProcedure="false">'Sizing Model'!$A$1:$I$123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<sst xmlns="http://schemas.openxmlformats.org/spreadsheetml/2006/main" count="168" uniqueCount="151">
  <si>
    <t xml:space="preserve">Kafka -&gt; Iceberg -&gt; ML Anomaly Prediction Pipeline — EKS Sizing Model (single tab)</t>
  </si>
  <si>
    <t xml:space="preserve">HOW TO USE: edit only the YELLOW cells in the INPUTS section below (throughput, message size, retention, instance types...). Every other section (Volumetrics, Pod &amp; Node Sizing, S3 Storage, Cost Estimate) recalculates automatically. Blue text = input. Black text = formula. Green text = cross-reference within this sheet.</t>
  </si>
  <si>
    <t xml:space="preserve">1. INPUT ASSUMPTIONS  (edit yellow cells only)</t>
  </si>
  <si>
    <t xml:space="preserve">Assumption</t>
  </si>
  <si>
    <t xml:space="preserve">Low</t>
  </si>
  <si>
    <t xml:space="preserve">High</t>
  </si>
  <si>
    <t xml:space="preserve">Notes</t>
  </si>
  <si>
    <t xml:space="preserve">Kafka topic throughput (MB/s)</t>
  </si>
  <si>
    <t xml:space="preserve">Observed/expected sustained range. Cluster sized to High; steady-state pods track Low-Avg.</t>
  </si>
  <si>
    <t xml:space="preserve">Average message size (KB)</t>
  </si>
  <si>
    <t xml:space="preserve">JSON/Avro event size after Kafka-level compression. Drives record-count math.</t>
  </si>
  <si>
    <t xml:space="preserve">Consumer headroom factor (x)</t>
  </si>
  <si>
    <t xml:space="preserve">Safety margin so consumers never run pinned at 100% CPU (avoids rebalance storms).</t>
  </si>
  <si>
    <t xml:space="preserve">Window 1 interval (min)</t>
  </si>
  <si>
    <t xml:space="preserve">Window 2 interval (min)</t>
  </si>
  <si>
    <t xml:space="preserve">MB processed per Spark executor per window</t>
  </si>
  <si>
    <t xml:space="preserve">Conservative throughput per executor for stateful windowed agg + Iceberg writes.</t>
  </si>
  <si>
    <t xml:space="preserve">Executor size: vCPU / Memory (GB)</t>
  </si>
  <si>
    <t xml:space="preserve">Driver size: vCPU / Memory (GB) (per job)</t>
  </si>
  <si>
    <t xml:space="preserve">WarpStream: sustained MB/s per agent vCPU</t>
  </si>
  <si>
    <t xml:space="preserve">Vendor guidance ballpark for compression+S3 upload pipeline; validate in a load test.</t>
  </si>
  <si>
    <t xml:space="preserve">WarpStream: vCPU per agent pod</t>
  </si>
  <si>
    <t xml:space="preserve">WarpStream: memory (GB) per vCPU</t>
  </si>
  <si>
    <t xml:space="preserve">WarpStream: minimum agent pods (HA floor)</t>
  </si>
  <si>
    <t xml:space="preserve">Jupyter: concurrent notebook users</t>
  </si>
  <si>
    <t xml:space="preserve">Jupyter: per-user pod vCPU / Memory (GB)</t>
  </si>
  <si>
    <t xml:space="preserve">MLflow: tracking server replicas</t>
  </si>
  <si>
    <t xml:space="preserve">MLflow: per-replica vCPU / Memory (GB)</t>
  </si>
  <si>
    <t xml:space="preserve">Training: max parallel job pods</t>
  </si>
  <si>
    <t xml:space="preserve">Training: per-pod vCPU / Memory (GB)</t>
  </si>
  <si>
    <t xml:space="preserve">Classical/ML models (ARIMA/Prophet/LightGBM/PyOD/LSTM-AE) - CPU only, no GPU needed.</t>
  </si>
  <si>
    <t xml:space="preserve">Inference: service replicas</t>
  </si>
  <si>
    <t xml:space="preserve">Inference: per-replica vCPU / Memory (GB)</t>
  </si>
  <si>
    <t xml:space="preserve">Presentation: concurrent users</t>
  </si>
  <si>
    <t xml:space="preserve">Presentation: users served per agent pod</t>
  </si>
  <si>
    <t xml:space="preserve">Mostly I/O-bound waiting on LLM API + Trino/Athena query; low CPU need.</t>
  </si>
  <si>
    <t xml:space="preserve">Presentation: per-pod vCPU / Memory (GB)</t>
  </si>
  <si>
    <t xml:space="preserve">Presentation: minimum agent pods (HA floor)</t>
  </si>
  <si>
    <t xml:space="preserve">Storage: hot Iceberg retention (days)</t>
  </si>
  <si>
    <t xml:space="preserve">Storage: raw JSON -&gt; Parquet/Iceberg compression ratio</t>
  </si>
  <si>
    <t xml:space="preserve">Typical Parquet+Snappy/Zstd on semi-structured JSON telemetry: 4-6x.</t>
  </si>
  <si>
    <t xml:space="preserve">Storage: growth/burst margin (%)</t>
  </si>
  <si>
    <t xml:space="preserve">Storage: Iceberg metadata/manifest overhead (%)</t>
  </si>
  <si>
    <t xml:space="preserve">Node type: Streaming instance vCPU / Mem(GB)</t>
  </si>
  <si>
    <t xml:space="preserve">i.e. m6i.2xlarge. Runs WarpStream agents + Spark executors/drivers + inference.</t>
  </si>
  <si>
    <t xml:space="preserve">Node type: Platform instance vCPU / Mem(GB)</t>
  </si>
  <si>
    <t xml:space="preserve">i.e. m6i.xlarge. Runs Jupyter, MLflow, Agent/RAG presentation layer.</t>
  </si>
  <si>
    <t xml:space="preserve">Node type: Training-burst instance vCPU / Mem(GB)</t>
  </si>
  <si>
    <t xml:space="preserve">i.e. m6i.4xlarge (or m5.4xlarge), spot, scale-to-zero via Karpenter when idle.</t>
  </si>
  <si>
    <t xml:space="preserve">Kubelet/system reserved capacity (%)</t>
  </si>
  <si>
    <t xml:space="preserve">EKS reserves CPU/mem for kubelet, kube-proxy, CNI, OS. Applied when packing pods to nodes.</t>
  </si>
  <si>
    <t xml:space="preserve">Price: On-demand $/hr - streaming instance</t>
  </si>
  <si>
    <t xml:space="preserve">Price: On-demand $/hr - platform instance</t>
  </si>
  <si>
    <t xml:space="preserve">Price: Spot $/hr - training instance (~60% of on-demand)</t>
  </si>
  <si>
    <t xml:space="preserve">Price: S3 Standard storage $/GB-month</t>
  </si>
  <si>
    <t xml:space="preserve">Training burst: assumed active hours/month</t>
  </si>
  <si>
    <t xml:space="preserve">Scheduled retrains + ad-hoc experimentation; scale-to-zero the rest of the month via Karpenter.</t>
  </si>
  <si>
    <t xml:space="preserve">2. DERIVED VOLUMETRICS  (throughput -&gt; bytes / records, per sec-hour-day)</t>
  </si>
  <si>
    <t xml:space="preserve">Metric</t>
  </si>
  <si>
    <t xml:space="preserve">Average</t>
  </si>
  <si>
    <t xml:space="preserve">Kafka throughput (MB/s)</t>
  </si>
  <si>
    <t xml:space="preserve">Throughput (bytes/sec)</t>
  </si>
  <si>
    <t xml:space="preserve">Volume per hour (GB)</t>
  </si>
  <si>
    <t xml:space="preserve">Volume per day (GB)</t>
  </si>
  <si>
    <t xml:space="preserve">Volume per day (TB)</t>
  </si>
  <si>
    <t xml:space="preserve">Volume per month (GB, 30d)</t>
  </si>
  <si>
    <t xml:space="preserve">Record counts  (avg message size from row 7)</t>
  </si>
  <si>
    <t xml:space="preserve">Records / sec</t>
  </si>
  <si>
    <t xml:space="preserve">Records / hour</t>
  </si>
  <si>
    <t xml:space="preserve">Records / day</t>
  </si>
  <si>
    <t xml:space="preserve">Data per consumption window</t>
  </si>
  <si>
    <t xml:space="preserve">Data per 5-min window (MB)</t>
  </si>
  <si>
    <t xml:space="preserve">MB/s x window(min) x 60 sec</t>
  </si>
  <si>
    <t xml:space="preserve">Data per 15-min window (MB)</t>
  </si>
  <si>
    <t xml:space="preserve">Records per 5-min window</t>
  </si>
  <si>
    <t xml:space="preserve">Records per 15-min window</t>
  </si>
  <si>
    <t xml:space="preserve">3. EKS POD &amp; NODE SIZING  (peak sized to Kafka High x headroom; steady = always-on baseline)</t>
  </si>
  <si>
    <t xml:space="preserve">Component</t>
  </si>
  <si>
    <t xml:space="preserve">Node Group</t>
  </si>
  <si>
    <t xml:space="preserve">Pods
(steady)</t>
  </si>
  <si>
    <t xml:space="preserve">Pods
(peak)</t>
  </si>
  <si>
    <t xml:space="preserve">vCPU
/pod</t>
  </si>
  <si>
    <t xml:space="preserve">Mem(GB)
/pod</t>
  </si>
  <si>
    <t xml:space="preserve">Total vCPU
(peak)</t>
  </si>
  <si>
    <t xml:space="preserve">Total MemGB
(peak)</t>
  </si>
  <si>
    <t xml:space="preserve">WarpStream Tableflow Agents (Kafka -&gt; Iceberg)</t>
  </si>
  <si>
    <t xml:space="preserve">Streaming</t>
  </si>
  <si>
    <t xml:space="preserve">5-min Window Job - Spark Executors</t>
  </si>
  <si>
    <t xml:space="preserve">5-min Window Job - Spark Driver</t>
  </si>
  <si>
    <t xml:space="preserve">15-min Window Job - Spark Executors</t>
  </si>
  <si>
    <t xml:space="preserve">15-min Window Job - Spark Driver</t>
  </si>
  <si>
    <t xml:space="preserve">Batch Inference / Scoring Service</t>
  </si>
  <si>
    <t xml:space="preserve">JupyterHub (single-user notebook pods)</t>
  </si>
  <si>
    <t xml:space="preserve">Platform</t>
  </si>
  <si>
    <t xml:space="preserve">MLflow Tracking Server</t>
  </si>
  <si>
    <t xml:space="preserve">Presentation Layer (Agent + RAG over Iceberg)</t>
  </si>
  <si>
    <t xml:space="preserve">Training Jobs (scheduled batch, scale-to-zero)</t>
  </si>
  <si>
    <t xml:space="preserve">Training Burst</t>
  </si>
  <si>
    <t xml:space="preserve">0</t>
  </si>
  <si>
    <t xml:space="preserve">TOTAL (peak)</t>
  </si>
  <si>
    <t xml:space="preserve">NODE GROUP ROLL-UP -&gt; Instance Type &amp; Node Count</t>
  </si>
  <si>
    <t xml:space="preserve">Instance Type (vCPU/Mem GB)</t>
  </si>
  <si>
    <t xml:space="preserve">Usable vCPU/node*</t>
  </si>
  <si>
    <t xml:space="preserve">Usable MemGB/node*</t>
  </si>
  <si>
    <t xml:space="preserve">Total vCPU needed</t>
  </si>
  <si>
    <t xml:space="preserve">Total MemGB needed</t>
  </si>
  <si>
    <t xml:space="preserve">Nodes (vCPU-bound)</t>
  </si>
  <si>
    <t xml:space="preserve">Nodes (mem-bound)</t>
  </si>
  <si>
    <t xml:space="preserve">Nodes Required</t>
  </si>
  <si>
    <t xml:space="preserve">Streaming
(WarpStream+Spark+Inference)</t>
  </si>
  <si>
    <t xml:space="preserve">m6i.2xlarge (8 vCPU/32GB)</t>
  </si>
  <si>
    <t xml:space="preserve">Platform
(Jupyter+MLflow+Agent/RAG)</t>
  </si>
  <si>
    <t xml:space="preserve">m6i.xlarge (4 vCPU/16GB)</t>
  </si>
  <si>
    <t xml:space="preserve">Training Burst
(spot, scale-to-zero)</t>
  </si>
  <si>
    <t xml:space="preserve">m6i.4xlarge (16 vCPU/64GB)</t>
  </si>
  <si>
    <t xml:space="preserve">TOTAL WORKER NODES</t>
  </si>
  <si>
    <t xml:space="preserve">* Usable capacity nets out the kubelet/system reserved % input above. Node counts include a minimum HA floor (2 for always-on groups).</t>
  </si>
  <si>
    <t xml:space="preserve">4. S3 / ICEBERG STORAGE SIZING</t>
  </si>
  <si>
    <t xml:space="preserve">Raw daily ingest, Bronze layer (GB/day)</t>
  </si>
  <si>
    <t xml:space="preserve">Landed as-is from Kafka before Iceberg compaction; short-lived.</t>
  </si>
  <si>
    <t xml:space="preserve">Iceberg/Parquet daily size, Silver layer (GB/day)</t>
  </si>
  <si>
    <t xml:space="preserve">After Parquet + Snappy/Zstd compression.</t>
  </si>
  <si>
    <t xml:space="preserve">Hot Iceberg table size at full retention (GB)</t>
  </si>
  <si>
    <t xml:space="preserve">Retention window = row 38 above.</t>
  </si>
  <si>
    <t xml:space="preserve">+ Iceberg metadata/manifest/snapshot overhead (GB)</t>
  </si>
  <si>
    <t xml:space="preserve">Subtotal before growth margin (GB)</t>
  </si>
  <si>
    <t xml:space="preserve">TOTAL provisioned S3 size incl. growth margin (GB)</t>
  </si>
  <si>
    <t xml:space="preserve">TOTAL provisioned S3 size (TB)</t>
  </si>
  <si>
    <t xml:space="preserve">Incremental growth added per month (GB)</t>
  </si>
  <si>
    <t xml:space="preserve">Useful for capacity trend even though lifecycle rules cap steady-state size.</t>
  </si>
  <si>
    <t xml:space="preserve">Lifecycle recommendation</t>
  </si>
  <si>
    <t xml:space="preserve">- Bronze (raw landing, pre-Tableflow) -&gt; lifecycle to expire after 3-7 days once committed to Iceberg; it is a durability buffer, not a query layer.</t>
  </si>
  <si>
    <t xml:space="preserve">- Silver (curated Iceberg tables) -&gt; S3 Standard for the hot retention window above, then S3 Intelligent-Tiering / Standard-IA / Glacier Instant Retrieval for cold partitions.</t>
  </si>
  <si>
    <t xml:space="preserve">- Gold (feature store / model output written back by the ML pipeline) -&gt; small relative to Bronze/Silver; same bucket, own prefix + lifecycle policy.</t>
  </si>
  <si>
    <t xml:space="preserve">- Enable Iceberg table compaction (rewrite_data_files) on a schedule to keep manifest counts and query planning time low as volume grows.</t>
  </si>
  <si>
    <t xml:space="preserve">5. APPROXIMATE MONTHLY COST  (EC2 + S3 only - verify current AWS pricing for your region)</t>
  </si>
  <si>
    <t xml:space="preserve">Excludes: EKS control plane, data transfer, MSK/Kafka cluster, WarpStream control-plane fee, RDS for MLflow backend, LLM API tokens, Athena/Trino query cost, observability stack.</t>
  </si>
  <si>
    <t xml:space="preserve">Node Group / Item</t>
  </si>
  <si>
    <t xml:space="preserve">Nodes / Qty</t>
  </si>
  <si>
    <t xml:space="preserve">Unit $/hr or $/GB-mo</t>
  </si>
  <si>
    <t xml:space="preserve">Hours/mo</t>
  </si>
  <si>
    <t xml:space="preserve">Monthly Cost ($)</t>
  </si>
  <si>
    <t xml:space="preserve">Streaming node group EC2 (m6i.2xlarge, on-demand)</t>
  </si>
  <si>
    <t xml:space="preserve">730</t>
  </si>
  <si>
    <t xml:space="preserve">Platform node group EC2 (m6i.xlarge, on-demand)</t>
  </si>
  <si>
    <t xml:space="preserve">Training burst node group EC2 (m6i.4xlarge, spot)</t>
  </si>
  <si>
    <t xml:space="preserve">S3 storage (Standard, High volumetrics)</t>
  </si>
  <si>
    <t xml:space="preserve">1</t>
  </si>
  <si>
    <t xml:space="preserve">TOTAL APPROXIMATE MONTHLY COST</t>
  </si>
  <si>
    <t xml:space="preserve">This is a directional planning number, not a quote. Reserved Instances / Savings Plans on the Streaming and Platform node groups</t>
  </si>
  <si>
    <t xml:space="preserve">(steady-state, always-on) typically cut EC2 cost 30-45% vs the on-demand figures shown here.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</si>
</sst>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.00"/>
    <numFmt numFmtId="167" formatCode="0.0\x"/>
    <numFmt numFmtId="168" formatCode="0"/>
    <numFmt numFmtId="169" formatCode="#,##0"/>
    <numFmt numFmtId="170" formatCode="0%"/>
    <numFmt numFmtId="171" formatCode="\$0.000"/>
    <numFmt numFmtId="172" formatCode="#,##0.00"/>
    <numFmt numFmtId="173" formatCode="#,##0.0"/>
    <numFmt numFmtId="174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5"/>
    <col collapsed="false" customWidth="true" hidden="false" outlineLevel="0" max="5" min="5" style="0" width="58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/>
      <c r="E5" s="4" t="s">
        <v>6</v>
      </c>
    </row>
    <row r="6" customFormat="false" ht="15" hidden="false" customHeight="false" outlineLevel="0" collapsed="false">
      <c r="A6" s="5" t="s">
        <v>7</v>
      </c>
      <c r="B6" s="6" t="n">
        <v>3</v>
      </c>
      <c r="C6" s="6" t="n">
        <v>10</v>
      </c>
      <c r="E6" s="5" t="s">
        <v>8</v>
      </c>
    </row>
    <row r="7" customFormat="false" ht="15" hidden="false" customHeight="false" outlineLevel="0" collapsed="false">
      <c r="A7" s="5" t="s">
        <v>9</v>
      </c>
      <c r="B7" s="7" t="n">
        <v>1</v>
      </c>
      <c r="E7" s="5" t="s">
        <v>10</v>
      </c>
    </row>
    <row r="8" customFormat="false" ht="15" hidden="false" customHeight="false" outlineLevel="0" collapsed="false">
      <c r="A8" s="5" t="s">
        <v>11</v>
      </c>
      <c r="B8" s="8" t="n">
        <v>1.3</v>
      </c>
      <c r="E8" s="5" t="s">
        <v>12</v>
      </c>
    </row>
    <row r="10" customFormat="false" ht="15" hidden="false" customHeight="false" outlineLevel="0" collapsed="false">
      <c r="A10" s="5" t="s">
        <v>13</v>
      </c>
      <c r="B10" s="9" t="n">
        <v>5</v>
      </c>
    </row>
    <row r="11" customFormat="false" ht="15" hidden="false" customHeight="false" outlineLevel="0" collapsed="false">
      <c r="A11" s="5" t="s">
        <v>14</v>
      </c>
      <c r="B11" s="9" t="n">
        <v>15</v>
      </c>
    </row>
    <row r="12" customFormat="false" ht="15" hidden="false" customHeight="false" outlineLevel="0" collapsed="false">
      <c r="A12" s="5" t="s">
        <v>15</v>
      </c>
      <c r="B12" s="10" t="n">
        <v>600</v>
      </c>
      <c r="E12" s="5" t="s">
        <v>16</v>
      </c>
    </row>
    <row r="13" customFormat="false" ht="15" hidden="false" customHeight="false" outlineLevel="0" collapsed="false">
      <c r="A13" s="5" t="s">
        <v>17</v>
      </c>
      <c r="B13" s="9" t="n">
        <v>2</v>
      </c>
      <c r="C13" s="9" t="n">
        <v>8</v>
      </c>
    </row>
    <row r="14" customFormat="false" ht="15" hidden="false" customHeight="false" outlineLevel="0" collapsed="false">
      <c r="A14" s="5" t="s">
        <v>18</v>
      </c>
      <c r="B14" s="9" t="n">
        <v>2</v>
      </c>
      <c r="C14" s="9" t="n">
        <v>4</v>
      </c>
    </row>
    <row r="16" customFormat="false" ht="15" hidden="false" customHeight="false" outlineLevel="0" collapsed="false">
      <c r="A16" s="5" t="s">
        <v>19</v>
      </c>
      <c r="B16" s="6" t="n">
        <v>5</v>
      </c>
      <c r="E16" s="5" t="s">
        <v>20</v>
      </c>
    </row>
    <row r="17" customFormat="false" ht="15" hidden="false" customHeight="false" outlineLevel="0" collapsed="false">
      <c r="A17" s="5" t="s">
        <v>21</v>
      </c>
      <c r="B17" s="9" t="n">
        <v>2</v>
      </c>
    </row>
    <row r="18" customFormat="false" ht="15" hidden="false" customHeight="false" outlineLevel="0" collapsed="false">
      <c r="A18" s="5" t="s">
        <v>22</v>
      </c>
      <c r="B18" s="6" t="n">
        <v>2</v>
      </c>
    </row>
    <row r="19" customFormat="false" ht="15" hidden="false" customHeight="false" outlineLevel="0" collapsed="false">
      <c r="A19" s="5" t="s">
        <v>23</v>
      </c>
      <c r="B19" s="9" t="n">
        <v>3</v>
      </c>
    </row>
    <row r="21" customFormat="false" ht="15" hidden="false" customHeight="false" outlineLevel="0" collapsed="false">
      <c r="A21" s="5" t="s">
        <v>24</v>
      </c>
      <c r="B21" s="9" t="n">
        <v>8</v>
      </c>
    </row>
    <row r="22" customFormat="false" ht="15" hidden="false" customHeight="false" outlineLevel="0" collapsed="false">
      <c r="A22" s="5" t="s">
        <v>25</v>
      </c>
      <c r="B22" s="9" t="n">
        <v>2</v>
      </c>
      <c r="C22" s="9" t="n">
        <v>8</v>
      </c>
    </row>
    <row r="24" customFormat="false" ht="15" hidden="false" customHeight="false" outlineLevel="0" collapsed="false">
      <c r="A24" s="5" t="s">
        <v>26</v>
      </c>
      <c r="B24" s="9" t="n">
        <v>2</v>
      </c>
    </row>
    <row r="25" customFormat="false" ht="15" hidden="false" customHeight="false" outlineLevel="0" collapsed="false">
      <c r="A25" s="5" t="s">
        <v>27</v>
      </c>
      <c r="B25" s="9" t="n">
        <v>1</v>
      </c>
      <c r="C25" s="9" t="n">
        <v>2</v>
      </c>
    </row>
    <row r="27" customFormat="false" ht="15" hidden="false" customHeight="false" outlineLevel="0" collapsed="false">
      <c r="A27" s="5" t="s">
        <v>28</v>
      </c>
      <c r="B27" s="9" t="n">
        <v>2</v>
      </c>
    </row>
    <row r="28" customFormat="false" ht="15" hidden="false" customHeight="false" outlineLevel="0" collapsed="false">
      <c r="A28" s="5" t="s">
        <v>29</v>
      </c>
      <c r="B28" s="9" t="n">
        <v>4</v>
      </c>
      <c r="C28" s="9" t="n">
        <v>16</v>
      </c>
      <c r="E28" s="5" t="s">
        <v>30</v>
      </c>
    </row>
    <row r="30" customFormat="false" ht="15" hidden="false" customHeight="false" outlineLevel="0" collapsed="false">
      <c r="A30" s="5" t="s">
        <v>31</v>
      </c>
      <c r="B30" s="9" t="n">
        <v>2</v>
      </c>
    </row>
    <row r="31" customFormat="false" ht="15" hidden="false" customHeight="false" outlineLevel="0" collapsed="false">
      <c r="A31" s="5" t="s">
        <v>32</v>
      </c>
      <c r="B31" s="9" t="n">
        <v>2</v>
      </c>
      <c r="C31" s="9" t="n">
        <v>4</v>
      </c>
    </row>
    <row r="33" customFormat="false" ht="15" hidden="false" customHeight="false" outlineLevel="0" collapsed="false">
      <c r="A33" s="5" t="s">
        <v>33</v>
      </c>
      <c r="B33" s="9" t="n">
        <v>20</v>
      </c>
    </row>
    <row r="34" customFormat="false" ht="15" hidden="false" customHeight="false" outlineLevel="0" collapsed="false">
      <c r="A34" s="5" t="s">
        <v>34</v>
      </c>
      <c r="B34" s="9" t="n">
        <v>10</v>
      </c>
      <c r="E34" s="5" t="s">
        <v>35</v>
      </c>
    </row>
    <row r="35" customFormat="false" ht="15" hidden="false" customHeight="false" outlineLevel="0" collapsed="false">
      <c r="A35" s="5" t="s">
        <v>36</v>
      </c>
      <c r="B35" s="9" t="n">
        <v>1</v>
      </c>
      <c r="C35" s="9" t="n">
        <v>2</v>
      </c>
    </row>
    <row r="36" customFormat="false" ht="15" hidden="false" customHeight="false" outlineLevel="0" collapsed="false">
      <c r="A36" s="5" t="s">
        <v>37</v>
      </c>
      <c r="B36" s="9" t="n">
        <v>2</v>
      </c>
    </row>
    <row r="38" customFormat="false" ht="15" hidden="false" customHeight="false" outlineLevel="0" collapsed="false">
      <c r="A38" s="5" t="s">
        <v>38</v>
      </c>
      <c r="B38" s="9" t="n">
        <v>90</v>
      </c>
    </row>
    <row r="39" customFormat="false" ht="15" hidden="false" customHeight="false" outlineLevel="0" collapsed="false">
      <c r="A39" s="5" t="s">
        <v>39</v>
      </c>
      <c r="B39" s="6" t="n">
        <v>5</v>
      </c>
      <c r="E39" s="5" t="s">
        <v>40</v>
      </c>
    </row>
    <row r="40" customFormat="false" ht="15" hidden="false" customHeight="false" outlineLevel="0" collapsed="false">
      <c r="A40" s="5" t="s">
        <v>41</v>
      </c>
      <c r="B40" s="11" t="n">
        <v>0.2</v>
      </c>
    </row>
    <row r="41" customFormat="false" ht="15" hidden="false" customHeight="false" outlineLevel="0" collapsed="false">
      <c r="A41" s="5" t="s">
        <v>42</v>
      </c>
      <c r="B41" s="11" t="n">
        <v>0.08</v>
      </c>
    </row>
    <row r="43" customFormat="false" ht="15" hidden="false" customHeight="false" outlineLevel="0" collapsed="false">
      <c r="A43" s="5" t="s">
        <v>43</v>
      </c>
      <c r="B43" s="9" t="n">
        <v>8</v>
      </c>
      <c r="C43" s="9" t="n">
        <v>32</v>
      </c>
      <c r="E43" s="5" t="s">
        <v>44</v>
      </c>
    </row>
    <row r="44" customFormat="false" ht="15" hidden="false" customHeight="false" outlineLevel="0" collapsed="false">
      <c r="A44" s="5" t="s">
        <v>45</v>
      </c>
      <c r="B44" s="9" t="n">
        <v>4</v>
      </c>
      <c r="C44" s="9" t="n">
        <v>16</v>
      </c>
      <c r="E44" s="5" t="s">
        <v>46</v>
      </c>
    </row>
    <row r="45" customFormat="false" ht="15" hidden="false" customHeight="false" outlineLevel="0" collapsed="false">
      <c r="A45" s="5" t="s">
        <v>47</v>
      </c>
      <c r="B45" s="9" t="n">
        <v>16</v>
      </c>
      <c r="C45" s="9" t="n">
        <v>64</v>
      </c>
      <c r="E45" s="5" t="s">
        <v>48</v>
      </c>
    </row>
    <row r="46" customFormat="false" ht="15" hidden="false" customHeight="false" outlineLevel="0" collapsed="false">
      <c r="A46" s="5" t="s">
        <v>49</v>
      </c>
      <c r="B46" s="11" t="n">
        <v>0.15</v>
      </c>
      <c r="E46" s="5" t="s">
        <v>50</v>
      </c>
    </row>
    <row r="48" customFormat="false" ht="15" hidden="false" customHeight="false" outlineLevel="0" collapsed="false">
      <c r="A48" s="5" t="s">
        <v>51</v>
      </c>
      <c r="B48" s="12" t="n">
        <v>0.384</v>
      </c>
    </row>
    <row r="49" customFormat="false" ht="15" hidden="false" customHeight="false" outlineLevel="0" collapsed="false">
      <c r="A49" s="5" t="s">
        <v>52</v>
      </c>
      <c r="B49" s="12" t="n">
        <v>0.192</v>
      </c>
    </row>
    <row r="50" customFormat="false" ht="15" hidden="false" customHeight="false" outlineLevel="0" collapsed="false">
      <c r="A50" s="5" t="s">
        <v>53</v>
      </c>
      <c r="B50" s="12" t="n">
        <v>0.614</v>
      </c>
    </row>
    <row r="51" customFormat="false" ht="15" hidden="false" customHeight="false" outlineLevel="0" collapsed="false">
      <c r="A51" s="5" t="s">
        <v>54</v>
      </c>
      <c r="B51" s="12" t="n">
        <v>0.023</v>
      </c>
    </row>
    <row r="52" customFormat="false" ht="15" hidden="false" customHeight="false" outlineLevel="0" collapsed="false">
      <c r="A52" s="5" t="s">
        <v>55</v>
      </c>
      <c r="B52" s="10" t="n">
        <v>100</v>
      </c>
      <c r="E52" s="5" t="s">
        <v>56</v>
      </c>
    </row>
    <row r="55" customFormat="false" ht="21.75" hidden="false" customHeight="true" outlineLevel="0" collapsed="false">
      <c r="A55" s="3" t="s">
        <v>57</v>
      </c>
      <c r="B55" s="3"/>
      <c r="C55" s="3"/>
      <c r="D55" s="3"/>
      <c r="E55" s="3"/>
    </row>
    <row r="56" customFormat="false" ht="15" hidden="false" customHeight="false" outlineLevel="0" collapsed="false">
      <c r="A56" s="4" t="s">
        <v>58</v>
      </c>
      <c r="B56" s="4" t="s">
        <v>4</v>
      </c>
      <c r="C56" s="4" t="s">
        <v>5</v>
      </c>
      <c r="D56" s="4" t="s">
        <v>59</v>
      </c>
      <c r="E56" s="4" t="s">
        <v>6</v>
      </c>
    </row>
    <row r="57" customFormat="false" ht="15" hidden="false" customHeight="false" outlineLevel="0" collapsed="false">
      <c r="A57" s="5" t="s">
        <v>60</v>
      </c>
      <c r="B57" s="13" t="n">
        <f aca="false">B6</f>
        <v>3</v>
      </c>
      <c r="C57" s="13" t="n">
        <f aca="false">C6</f>
        <v>10</v>
      </c>
      <c r="D57" s="13" t="n">
        <f aca="false">AVERAGE(B57:C57)</f>
        <v>6.5</v>
      </c>
    </row>
    <row r="58" customFormat="false" ht="15" hidden="false" customHeight="false" outlineLevel="0" collapsed="false">
      <c r="A58" s="5" t="s">
        <v>61</v>
      </c>
      <c r="B58" s="13" t="n">
        <f aca="false">B57*1024*1024</f>
        <v>3145728</v>
      </c>
      <c r="C58" s="13" t="n">
        <f aca="false">C57*1024*1024</f>
        <v>10485760</v>
      </c>
      <c r="D58" s="13" t="n">
        <f aca="false">D57*1024*1024</f>
        <v>6815744</v>
      </c>
    </row>
    <row r="59" customFormat="false" ht="15" hidden="false" customHeight="false" outlineLevel="0" collapsed="false">
      <c r="A59" s="5" t="s">
        <v>62</v>
      </c>
      <c r="B59" s="13" t="n">
        <f aca="false">B58*3600/1024/1024/1024</f>
        <v>10.546875</v>
      </c>
      <c r="C59" s="13" t="n">
        <f aca="false">C58*3600/1024/1024/1024</f>
        <v>35.15625</v>
      </c>
      <c r="D59" s="13" t="n">
        <f aca="false">D58*3600/1024/1024/1024</f>
        <v>22.8515625</v>
      </c>
    </row>
    <row r="60" customFormat="false" ht="15" hidden="false" customHeight="false" outlineLevel="0" collapsed="false">
      <c r="A60" s="5" t="s">
        <v>63</v>
      </c>
      <c r="B60" s="13" t="n">
        <f aca="false">B59*24</f>
        <v>253.125</v>
      </c>
      <c r="C60" s="13" t="n">
        <f aca="false">C59*24</f>
        <v>843.75</v>
      </c>
      <c r="D60" s="13" t="n">
        <f aca="false">D59*24</f>
        <v>548.4375</v>
      </c>
    </row>
    <row r="61" customFormat="false" ht="15" hidden="false" customHeight="false" outlineLevel="0" collapsed="false">
      <c r="A61" s="5" t="s">
        <v>64</v>
      </c>
      <c r="B61" s="13" t="n">
        <f aca="false">B60/1024</f>
        <v>0.2471923828125</v>
      </c>
      <c r="C61" s="13" t="n">
        <f aca="false">C60/1024</f>
        <v>0.823974609375</v>
      </c>
      <c r="D61" s="13" t="n">
        <f aca="false">D60/1024</f>
        <v>0.53558349609375</v>
      </c>
    </row>
    <row r="62" customFormat="false" ht="15" hidden="false" customHeight="false" outlineLevel="0" collapsed="false">
      <c r="A62" s="5" t="s">
        <v>65</v>
      </c>
      <c r="B62" s="13" t="n">
        <f aca="false">B60*30</f>
        <v>7593.75</v>
      </c>
      <c r="C62" s="13" t="n">
        <f aca="false">C60*30</f>
        <v>25312.5</v>
      </c>
      <c r="D62" s="13" t="n">
        <f aca="false">D60*30</f>
        <v>16453.125</v>
      </c>
    </row>
    <row r="63" customFormat="false" ht="15" hidden="false" customHeight="false" outlineLevel="0" collapsed="false">
      <c r="A63" s="14" t="s">
        <v>66</v>
      </c>
    </row>
    <row r="64" customFormat="false" ht="15" hidden="false" customHeight="false" outlineLevel="0" collapsed="false">
      <c r="A64" s="5" t="s">
        <v>67</v>
      </c>
      <c r="B64" s="13" t="n">
        <f aca="false">B58/(B7*1024)</f>
        <v>3072</v>
      </c>
      <c r="C64" s="13" t="n">
        <f aca="false">C58/(B7*1024)</f>
        <v>10240</v>
      </c>
      <c r="D64" s="13" t="n">
        <f aca="false">D58/(B7*1024)</f>
        <v>6656</v>
      </c>
    </row>
    <row r="65" customFormat="false" ht="15" hidden="false" customHeight="false" outlineLevel="0" collapsed="false">
      <c r="A65" s="5" t="s">
        <v>68</v>
      </c>
      <c r="B65" s="13" t="n">
        <f aca="false">B64*3600</f>
        <v>11059200</v>
      </c>
      <c r="C65" s="13" t="n">
        <f aca="false">C64*3600</f>
        <v>36864000</v>
      </c>
      <c r="D65" s="13" t="n">
        <f aca="false">D64*3600</f>
        <v>23961600</v>
      </c>
    </row>
    <row r="66" customFormat="false" ht="15" hidden="false" customHeight="false" outlineLevel="0" collapsed="false">
      <c r="A66" s="5" t="s">
        <v>69</v>
      </c>
      <c r="B66" s="13" t="n">
        <f aca="false">B65*24</f>
        <v>265420800</v>
      </c>
      <c r="C66" s="13" t="n">
        <f aca="false">C65*24</f>
        <v>884736000</v>
      </c>
      <c r="D66" s="13" t="n">
        <f aca="false">D65*24</f>
        <v>575078400</v>
      </c>
    </row>
    <row r="67" customFormat="false" ht="15" hidden="false" customHeight="false" outlineLevel="0" collapsed="false">
      <c r="A67" s="14" t="s">
        <v>70</v>
      </c>
    </row>
    <row r="68" customFormat="false" ht="15" hidden="false" customHeight="false" outlineLevel="0" collapsed="false">
      <c r="A68" s="5" t="s">
        <v>71</v>
      </c>
      <c r="B68" s="13" t="n">
        <f aca="false">B58*B10*60/1024/1024</f>
        <v>900</v>
      </c>
      <c r="C68" s="13" t="n">
        <f aca="false">C58*B10*60/1024/1024</f>
        <v>3000</v>
      </c>
      <c r="D68" s="13" t="n">
        <f aca="false">D58*B10*60/1024/1024</f>
        <v>1950</v>
      </c>
      <c r="E68" s="15" t="s">
        <v>72</v>
      </c>
    </row>
    <row r="69" customFormat="false" ht="15" hidden="false" customHeight="false" outlineLevel="0" collapsed="false">
      <c r="A69" s="5" t="s">
        <v>73</v>
      </c>
      <c r="B69" s="13" t="n">
        <f aca="false">B58*B11*60/1024/1024</f>
        <v>2700</v>
      </c>
      <c r="C69" s="13" t="n">
        <f aca="false">C58*B11*60/1024/1024</f>
        <v>9000</v>
      </c>
      <c r="D69" s="13" t="n">
        <f aca="false">D58*B11*60/1024/1024</f>
        <v>5850</v>
      </c>
    </row>
    <row r="70" customFormat="false" ht="15" hidden="false" customHeight="false" outlineLevel="0" collapsed="false">
      <c r="A70" s="5" t="s">
        <v>74</v>
      </c>
      <c r="B70" s="13" t="n">
        <f aca="false">B64*B10*60</f>
        <v>921600</v>
      </c>
      <c r="C70" s="13" t="n">
        <f aca="false">C64*B10*60</f>
        <v>3072000</v>
      </c>
      <c r="D70" s="13" t="n">
        <f aca="false">D64*B10*60</f>
        <v>1996800</v>
      </c>
    </row>
    <row r="71" customFormat="false" ht="15" hidden="false" customHeight="false" outlineLevel="0" collapsed="false">
      <c r="A71" s="5" t="s">
        <v>75</v>
      </c>
      <c r="B71" s="13" t="n">
        <f aca="false">B64*B11*60</f>
        <v>2764800</v>
      </c>
      <c r="C71" s="13" t="n">
        <f aca="false">C64*B11*60</f>
        <v>9216000</v>
      </c>
      <c r="D71" s="13" t="n">
        <f aca="false">D64*B11*60</f>
        <v>5990400</v>
      </c>
    </row>
    <row r="73" customFormat="false" ht="21.75" hidden="false" customHeight="true" outlineLevel="0" collapsed="false">
      <c r="A73" s="3" t="s">
        <v>76</v>
      </c>
      <c r="B73" s="3"/>
      <c r="C73" s="3"/>
      <c r="D73" s="3"/>
      <c r="E73" s="3"/>
    </row>
    <row r="74" customFormat="false" ht="30" hidden="false" customHeight="true" outlineLevel="0" collapsed="false">
      <c r="A74" s="16" t="s">
        <v>77</v>
      </c>
      <c r="B74" s="16" t="s">
        <v>78</v>
      </c>
      <c r="C74" s="16" t="s">
        <v>79</v>
      </c>
      <c r="D74" s="16" t="s">
        <v>80</v>
      </c>
      <c r="E74" s="16" t="s">
        <v>81</v>
      </c>
      <c r="F74" s="16" t="s">
        <v>82</v>
      </c>
      <c r="G74" s="16" t="s">
        <v>83</v>
      </c>
      <c r="H74" s="16" t="s">
        <v>84</v>
      </c>
    </row>
    <row r="75" customFormat="false" ht="15" hidden="false" customHeight="false" outlineLevel="0" collapsed="false">
      <c r="A75" s="17" t="s">
        <v>85</v>
      </c>
      <c r="B75" s="17" t="s">
        <v>86</v>
      </c>
      <c r="C75" s="18" t="n">
        <f aca="false">MAX(B19, ROUNDUP(B57*B8/B16/B17,0))</f>
        <v>3</v>
      </c>
      <c r="D75" s="18" t="n">
        <f aca="false">MAX(B19, ROUNDUP(C57*B8/B16/B17,0))</f>
        <v>3</v>
      </c>
      <c r="E75" s="18" t="n">
        <f aca="false">B17</f>
        <v>2</v>
      </c>
      <c r="F75" s="19" t="n">
        <f aca="false">B17*B18</f>
        <v>4</v>
      </c>
      <c r="G75" s="18" t="n">
        <f aca="false">D75*E75</f>
        <v>6</v>
      </c>
      <c r="H75" s="19" t="n">
        <f aca="false">D75*F75</f>
        <v>12</v>
      </c>
    </row>
    <row r="76" customFormat="false" ht="15" hidden="false" customHeight="false" outlineLevel="0" collapsed="false">
      <c r="A76" s="17" t="s">
        <v>87</v>
      </c>
      <c r="B76" s="17" t="s">
        <v>86</v>
      </c>
      <c r="C76" s="18" t="n">
        <f aca="false">MAX(2, ROUNDUP(B68/B12,0))</f>
        <v>2</v>
      </c>
      <c r="D76" s="18" t="n">
        <f aca="false">MAX(2, ROUNDUP(C68*B8/B12,0))</f>
        <v>7</v>
      </c>
      <c r="E76" s="18" t="n">
        <f aca="false">B13</f>
        <v>2</v>
      </c>
      <c r="F76" s="19" t="n">
        <f aca="false">C13</f>
        <v>8</v>
      </c>
      <c r="G76" s="18" t="n">
        <f aca="false">D76*E76</f>
        <v>14</v>
      </c>
      <c r="H76" s="19" t="n">
        <f aca="false">D76*F76</f>
        <v>56</v>
      </c>
    </row>
    <row r="77" customFormat="false" ht="15" hidden="false" customHeight="false" outlineLevel="0" collapsed="false">
      <c r="A77" s="17" t="s">
        <v>88</v>
      </c>
      <c r="B77" s="17" t="s">
        <v>86</v>
      </c>
      <c r="C77" s="18" t="n">
        <f aca="false">1</f>
        <v>1</v>
      </c>
      <c r="D77" s="18" t="n">
        <f aca="false">1</f>
        <v>1</v>
      </c>
      <c r="E77" s="18" t="n">
        <f aca="false">B14</f>
        <v>2</v>
      </c>
      <c r="F77" s="19" t="n">
        <f aca="false">C14</f>
        <v>4</v>
      </c>
      <c r="G77" s="18" t="n">
        <f aca="false">D77*E77</f>
        <v>2</v>
      </c>
      <c r="H77" s="19" t="n">
        <f aca="false">D77*F77</f>
        <v>4</v>
      </c>
    </row>
    <row r="78" customFormat="false" ht="15" hidden="false" customHeight="false" outlineLevel="0" collapsed="false">
      <c r="A78" s="17" t="s">
        <v>89</v>
      </c>
      <c r="B78" s="17" t="s">
        <v>86</v>
      </c>
      <c r="C78" s="18" t="n">
        <f aca="false">MAX(2, ROUNDUP(B69/B12,0))</f>
        <v>5</v>
      </c>
      <c r="D78" s="18" t="n">
        <f aca="false">MAX(2, ROUNDUP(C69*B8/B12,0))</f>
        <v>20</v>
      </c>
      <c r="E78" s="18" t="n">
        <f aca="false">B13</f>
        <v>2</v>
      </c>
      <c r="F78" s="19" t="n">
        <f aca="false">C13</f>
        <v>8</v>
      </c>
      <c r="G78" s="18" t="n">
        <f aca="false">D78*E78</f>
        <v>40</v>
      </c>
      <c r="H78" s="19" t="n">
        <f aca="false">D78*F78</f>
        <v>160</v>
      </c>
    </row>
    <row r="79" customFormat="false" ht="15" hidden="false" customHeight="false" outlineLevel="0" collapsed="false">
      <c r="A79" s="17" t="s">
        <v>90</v>
      </c>
      <c r="B79" s="17" t="s">
        <v>86</v>
      </c>
      <c r="C79" s="18" t="n">
        <f aca="false">1</f>
        <v>1</v>
      </c>
      <c r="D79" s="18" t="n">
        <f aca="false">1</f>
        <v>1</v>
      </c>
      <c r="E79" s="18" t="n">
        <f aca="false">B14</f>
        <v>2</v>
      </c>
      <c r="F79" s="19" t="n">
        <f aca="false">C14</f>
        <v>4</v>
      </c>
      <c r="G79" s="18" t="n">
        <f aca="false">D79*E79</f>
        <v>2</v>
      </c>
      <c r="H79" s="19" t="n">
        <f aca="false">D79*F79</f>
        <v>4</v>
      </c>
    </row>
    <row r="80" customFormat="false" ht="15" hidden="false" customHeight="false" outlineLevel="0" collapsed="false">
      <c r="A80" s="17" t="s">
        <v>91</v>
      </c>
      <c r="B80" s="17" t="s">
        <v>86</v>
      </c>
      <c r="C80" s="18" t="n">
        <f aca="false">B30</f>
        <v>2</v>
      </c>
      <c r="D80" s="18" t="n">
        <f aca="false">B30</f>
        <v>2</v>
      </c>
      <c r="E80" s="18" t="n">
        <f aca="false">B31</f>
        <v>2</v>
      </c>
      <c r="F80" s="19" t="n">
        <f aca="false">C31</f>
        <v>4</v>
      </c>
      <c r="G80" s="18" t="n">
        <f aca="false">D80*E80</f>
        <v>4</v>
      </c>
      <c r="H80" s="19" t="n">
        <f aca="false">D80*F80</f>
        <v>8</v>
      </c>
    </row>
    <row r="81" customFormat="false" ht="15" hidden="false" customHeight="false" outlineLevel="0" collapsed="false">
      <c r="A81" s="17" t="s">
        <v>92</v>
      </c>
      <c r="B81" s="17" t="s">
        <v>93</v>
      </c>
      <c r="C81" s="18" t="n">
        <f aca="false">ROUNDUP(B21*0.5,0)</f>
        <v>4</v>
      </c>
      <c r="D81" s="18" t="n">
        <f aca="false">B21</f>
        <v>8</v>
      </c>
      <c r="E81" s="18" t="n">
        <f aca="false">B22</f>
        <v>2</v>
      </c>
      <c r="F81" s="19" t="n">
        <f aca="false">C22</f>
        <v>8</v>
      </c>
      <c r="G81" s="18" t="n">
        <f aca="false">D81*E81</f>
        <v>16</v>
      </c>
      <c r="H81" s="19" t="n">
        <f aca="false">D81*F81</f>
        <v>64</v>
      </c>
    </row>
    <row r="82" customFormat="false" ht="15" hidden="false" customHeight="false" outlineLevel="0" collapsed="false">
      <c r="A82" s="17" t="s">
        <v>94</v>
      </c>
      <c r="B82" s="17" t="s">
        <v>93</v>
      </c>
      <c r="C82" s="18" t="n">
        <f aca="false">B24</f>
        <v>2</v>
      </c>
      <c r="D82" s="18" t="n">
        <f aca="false">B24</f>
        <v>2</v>
      </c>
      <c r="E82" s="18" t="n">
        <f aca="false">B25</f>
        <v>1</v>
      </c>
      <c r="F82" s="19" t="n">
        <f aca="false">C25</f>
        <v>2</v>
      </c>
      <c r="G82" s="18" t="n">
        <f aca="false">D82*E82</f>
        <v>2</v>
      </c>
      <c r="H82" s="19" t="n">
        <f aca="false">D82*F82</f>
        <v>4</v>
      </c>
    </row>
    <row r="83" customFormat="false" ht="15" hidden="false" customHeight="false" outlineLevel="0" collapsed="false">
      <c r="A83" s="17" t="s">
        <v>95</v>
      </c>
      <c r="B83" s="17" t="s">
        <v>93</v>
      </c>
      <c r="C83" s="18" t="n">
        <f aca="false">B36</f>
        <v>2</v>
      </c>
      <c r="D83" s="18" t="n">
        <f aca="false">MAX(B36, ROUNDUP(B33/B34,0))</f>
        <v>2</v>
      </c>
      <c r="E83" s="18" t="n">
        <f aca="false">B35</f>
        <v>1</v>
      </c>
      <c r="F83" s="19" t="n">
        <f aca="false">C35</f>
        <v>2</v>
      </c>
      <c r="G83" s="18" t="n">
        <f aca="false">D83*E83</f>
        <v>2</v>
      </c>
      <c r="H83" s="19" t="n">
        <f aca="false">D83*F83</f>
        <v>4</v>
      </c>
    </row>
    <row r="84" customFormat="false" ht="15" hidden="false" customHeight="false" outlineLevel="0" collapsed="false">
      <c r="A84" s="17" t="s">
        <v>96</v>
      </c>
      <c r="B84" s="17" t="s">
        <v>97</v>
      </c>
      <c r="C84" s="18" t="s">
        <v>98</v>
      </c>
      <c r="D84" s="18" t="n">
        <f aca="false">B27</f>
        <v>2</v>
      </c>
      <c r="E84" s="18" t="n">
        <f aca="false">B28</f>
        <v>4</v>
      </c>
      <c r="F84" s="19" t="n">
        <f aca="false">C28</f>
        <v>16</v>
      </c>
      <c r="G84" s="18" t="n">
        <f aca="false">D84*E84</f>
        <v>8</v>
      </c>
      <c r="H84" s="19" t="n">
        <f aca="false">D84*F84</f>
        <v>32</v>
      </c>
    </row>
    <row r="85" customFormat="false" ht="15" hidden="false" customHeight="false" outlineLevel="0" collapsed="false">
      <c r="A85" s="20" t="s">
        <v>99</v>
      </c>
      <c r="B85" s="20"/>
      <c r="C85" s="21" t="n">
        <f aca="false">SUM(C75:C84)</f>
        <v>22</v>
      </c>
      <c r="D85" s="21" t="n">
        <f aca="false">SUM(D75:D84)</f>
        <v>48</v>
      </c>
      <c r="E85" s="20"/>
      <c r="F85" s="20"/>
      <c r="G85" s="21" t="n">
        <f aca="false">SUM(G75:G84)</f>
        <v>96</v>
      </c>
      <c r="H85" s="22" t="n">
        <f aca="false">SUM(H75:H84)</f>
        <v>348</v>
      </c>
    </row>
    <row r="87" customFormat="false" ht="15" hidden="false" customHeight="false" outlineLevel="0" collapsed="false">
      <c r="A87" s="23" t="s">
        <v>100</v>
      </c>
    </row>
    <row r="88" customFormat="false" ht="39.75" hidden="false" customHeight="true" outlineLevel="0" collapsed="false">
      <c r="A88" s="16" t="s">
        <v>78</v>
      </c>
      <c r="B88" s="16" t="s">
        <v>101</v>
      </c>
      <c r="C88" s="16" t="s">
        <v>102</v>
      </c>
      <c r="D88" s="16" t="s">
        <v>103</v>
      </c>
      <c r="E88" s="16" t="s">
        <v>104</v>
      </c>
      <c r="F88" s="16" t="s">
        <v>105</v>
      </c>
      <c r="G88" s="16" t="s">
        <v>106</v>
      </c>
      <c r="H88" s="16" t="s">
        <v>107</v>
      </c>
      <c r="I88" s="16" t="s">
        <v>108</v>
      </c>
    </row>
    <row r="89" customFormat="false" ht="15" hidden="false" customHeight="false" outlineLevel="0" collapsed="false">
      <c r="A89" s="24" t="s">
        <v>109</v>
      </c>
      <c r="B89" s="17" t="s">
        <v>110</v>
      </c>
      <c r="C89" s="19" t="n">
        <f aca="false">ROUNDDOWN(B43*(1-B46),1)</f>
        <v>6.8</v>
      </c>
      <c r="D89" s="19" t="n">
        <f aca="false">ROUNDDOWN(C43*(1-B46),1)</f>
        <v>27.2</v>
      </c>
      <c r="E89" s="18" t="n">
        <f aca="false">SUMIF($B$75:$B$84,"Streaming",$G$75:$G$84)</f>
        <v>68</v>
      </c>
      <c r="F89" s="19" t="n">
        <f aca="false">SUMIF($B$75:$B$84,"Streaming",$H$75:$H$84)</f>
        <v>244</v>
      </c>
      <c r="G89" s="18" t="n">
        <f aca="false">ROUNDUP(E89/C89,0)</f>
        <v>10</v>
      </c>
      <c r="H89" s="18" t="n">
        <f aca="false">ROUNDUP(F89/D89,0)</f>
        <v>9</v>
      </c>
      <c r="I89" s="25" t="n">
        <f aca="false">MAX(G89,H89,2)</f>
        <v>10</v>
      </c>
    </row>
    <row r="90" customFormat="false" ht="15" hidden="false" customHeight="false" outlineLevel="0" collapsed="false">
      <c r="A90" s="24" t="s">
        <v>111</v>
      </c>
      <c r="B90" s="17" t="s">
        <v>112</v>
      </c>
      <c r="C90" s="19" t="n">
        <f aca="false">ROUNDDOWN(B44*(1-B46),1)</f>
        <v>3.4</v>
      </c>
      <c r="D90" s="19" t="n">
        <f aca="false">ROUNDDOWN(C44*(1-B46),1)</f>
        <v>13.6</v>
      </c>
      <c r="E90" s="18" t="n">
        <f aca="false">SUMIF($B$75:$B$84,"Platform",$G$75:$G$84)</f>
        <v>20</v>
      </c>
      <c r="F90" s="19" t="n">
        <f aca="false">SUMIF($B$75:$B$84,"Platform",$H$75:$H$84)</f>
        <v>72</v>
      </c>
      <c r="G90" s="18" t="n">
        <f aca="false">ROUNDUP(E90/C90,0)</f>
        <v>6</v>
      </c>
      <c r="H90" s="18" t="n">
        <f aca="false">ROUNDUP(F90/D90,0)</f>
        <v>6</v>
      </c>
      <c r="I90" s="25" t="n">
        <f aca="false">MAX(G90,H90,2)</f>
        <v>6</v>
      </c>
    </row>
    <row r="91" customFormat="false" ht="15" hidden="false" customHeight="false" outlineLevel="0" collapsed="false">
      <c r="A91" s="24" t="s">
        <v>113</v>
      </c>
      <c r="B91" s="17" t="s">
        <v>114</v>
      </c>
      <c r="C91" s="19" t="n">
        <f aca="false">ROUNDDOWN(B45*(1-B46),1)</f>
        <v>13.6</v>
      </c>
      <c r="D91" s="19" t="n">
        <f aca="false">ROUNDDOWN(C45*(1-B46),1)</f>
        <v>54.4</v>
      </c>
      <c r="E91" s="18" t="n">
        <f aca="false">SUMIF($B$75:$B$84,"Training Burst",$G$75:$G$84)</f>
        <v>8</v>
      </c>
      <c r="F91" s="19" t="n">
        <f aca="false">SUMIF($B$75:$B$84,"Training Burst",$H$75:$H$84)</f>
        <v>32</v>
      </c>
      <c r="G91" s="18" t="n">
        <f aca="false">ROUNDUP(E91/C91,0)</f>
        <v>1</v>
      </c>
      <c r="H91" s="18" t="n">
        <f aca="false">ROUNDUP(F91/D91,0)</f>
        <v>1</v>
      </c>
      <c r="I91" s="25" t="n">
        <f aca="false">MAX(G91,H91,1)</f>
        <v>1</v>
      </c>
    </row>
    <row r="92" customFormat="false" ht="15" hidden="false" customHeight="false" outlineLevel="0" collapsed="false">
      <c r="A92" s="20" t="s">
        <v>115</v>
      </c>
      <c r="B92" s="20"/>
      <c r="C92" s="20"/>
      <c r="D92" s="20"/>
      <c r="E92" s="20"/>
      <c r="F92" s="20"/>
      <c r="G92" s="20"/>
      <c r="H92" s="20"/>
      <c r="I92" s="21" t="n">
        <f aca="false">SUM(I89:I91)</f>
        <v>17</v>
      </c>
    </row>
    <row r="93" customFormat="false" ht="15" hidden="false" customHeight="false" outlineLevel="0" collapsed="false">
      <c r="A93" s="26" t="s">
        <v>116</v>
      </c>
      <c r="B93" s="26"/>
      <c r="C93" s="26"/>
      <c r="D93" s="26"/>
      <c r="E93" s="26"/>
      <c r="F93" s="26"/>
      <c r="G93" s="26"/>
      <c r="H93" s="26"/>
      <c r="I93" s="26"/>
    </row>
    <row r="95" customFormat="false" ht="21.75" hidden="false" customHeight="true" outlineLevel="0" collapsed="false">
      <c r="A95" s="3" t="s">
        <v>117</v>
      </c>
      <c r="B95" s="3"/>
      <c r="C95" s="3"/>
      <c r="D95" s="3"/>
      <c r="E95" s="3"/>
    </row>
    <row r="96" customFormat="false" ht="15" hidden="false" customHeight="false" outlineLevel="0" collapsed="false">
      <c r="A96" s="4" t="s">
        <v>58</v>
      </c>
      <c r="B96" s="4" t="s">
        <v>4</v>
      </c>
      <c r="C96" s="4" t="s">
        <v>5</v>
      </c>
      <c r="D96" s="4" t="s">
        <v>59</v>
      </c>
      <c r="E96" s="4" t="s">
        <v>6</v>
      </c>
    </row>
    <row r="97" customFormat="false" ht="15" hidden="false" customHeight="false" outlineLevel="0" collapsed="false">
      <c r="A97" s="5" t="s">
        <v>118</v>
      </c>
      <c r="B97" s="13" t="n">
        <f aca="false">B60</f>
        <v>253.125</v>
      </c>
      <c r="C97" s="13" t="n">
        <f aca="false">C60</f>
        <v>843.75</v>
      </c>
      <c r="D97" s="13" t="n">
        <f aca="false">D60</f>
        <v>548.4375</v>
      </c>
      <c r="E97" s="15" t="s">
        <v>119</v>
      </c>
    </row>
    <row r="98" customFormat="false" ht="15" hidden="false" customHeight="false" outlineLevel="0" collapsed="false">
      <c r="A98" s="5" t="s">
        <v>120</v>
      </c>
      <c r="B98" s="13" t="n">
        <f aca="false">B97/B39</f>
        <v>50.625</v>
      </c>
      <c r="C98" s="13" t="n">
        <f aca="false">C97/B39</f>
        <v>168.75</v>
      </c>
      <c r="D98" s="13" t="n">
        <f aca="false">D97/B39</f>
        <v>109.6875</v>
      </c>
      <c r="E98" s="15" t="s">
        <v>121</v>
      </c>
    </row>
    <row r="99" customFormat="false" ht="15" hidden="false" customHeight="false" outlineLevel="0" collapsed="false">
      <c r="A99" s="5" t="s">
        <v>122</v>
      </c>
      <c r="B99" s="13" t="n">
        <f aca="false">B98*B38</f>
        <v>4556.25</v>
      </c>
      <c r="C99" s="13" t="n">
        <f aca="false">C98*B38</f>
        <v>15187.5</v>
      </c>
      <c r="D99" s="13" t="n">
        <f aca="false">D98*B38</f>
        <v>9871.875</v>
      </c>
      <c r="E99" s="15" t="s">
        <v>123</v>
      </c>
    </row>
    <row r="100" customFormat="false" ht="15" hidden="false" customHeight="false" outlineLevel="0" collapsed="false">
      <c r="A100" s="5" t="s">
        <v>124</v>
      </c>
      <c r="B100" s="13" t="n">
        <f aca="false">B99*B41</f>
        <v>364.5</v>
      </c>
      <c r="C100" s="13" t="n">
        <f aca="false">C99*B41</f>
        <v>1215</v>
      </c>
      <c r="D100" s="13" t="n">
        <f aca="false">D99*B41</f>
        <v>789.75</v>
      </c>
    </row>
    <row r="101" customFormat="false" ht="15" hidden="false" customHeight="false" outlineLevel="0" collapsed="false">
      <c r="A101" s="5" t="s">
        <v>125</v>
      </c>
      <c r="B101" s="13" t="n">
        <f aca="false">B99+B100</f>
        <v>4920.75</v>
      </c>
      <c r="C101" s="13" t="n">
        <f aca="false">C99+C100</f>
        <v>16402.5</v>
      </c>
      <c r="D101" s="13" t="n">
        <f aca="false">D99+D100</f>
        <v>10661.625</v>
      </c>
    </row>
    <row r="102" customFormat="false" ht="15" hidden="false" customHeight="false" outlineLevel="0" collapsed="false">
      <c r="A102" s="5" t="s">
        <v>126</v>
      </c>
      <c r="B102" s="27" t="n">
        <f aca="false">B101*(1+B40)</f>
        <v>5904.9</v>
      </c>
      <c r="C102" s="27" t="n">
        <f aca="false">C101*(1+B40)</f>
        <v>19683</v>
      </c>
      <c r="D102" s="27" t="n">
        <f aca="false">D101*(1+B40)</f>
        <v>12793.95</v>
      </c>
    </row>
    <row r="103" customFormat="false" ht="15" hidden="false" customHeight="false" outlineLevel="0" collapsed="false">
      <c r="A103" s="5" t="s">
        <v>127</v>
      </c>
      <c r="B103" s="13" t="n">
        <f aca="false">B102/1024</f>
        <v>5.76650390625</v>
      </c>
      <c r="C103" s="13" t="n">
        <f aca="false">C102/1024</f>
        <v>19.2216796875</v>
      </c>
      <c r="D103" s="13" t="n">
        <f aca="false">D102/1024</f>
        <v>12.494091796875</v>
      </c>
    </row>
    <row r="104" customFormat="false" ht="15" hidden="false" customHeight="false" outlineLevel="0" collapsed="false">
      <c r="A104" s="5" t="s">
        <v>128</v>
      </c>
      <c r="B104" s="13" t="n">
        <f aca="false">B98*30</f>
        <v>1518.75</v>
      </c>
      <c r="C104" s="13" t="n">
        <f aca="false">C98*30</f>
        <v>5062.5</v>
      </c>
      <c r="D104" s="13" t="n">
        <f aca="false">D98*30</f>
        <v>3290.625</v>
      </c>
      <c r="E104" s="15" t="s">
        <v>129</v>
      </c>
    </row>
    <row r="106" customFormat="false" ht="15" hidden="false" customHeight="false" outlineLevel="0" collapsed="false">
      <c r="A106" s="14" t="s">
        <v>130</v>
      </c>
    </row>
    <row r="107" customFormat="false" ht="24" hidden="false" customHeight="true" outlineLevel="0" collapsed="false">
      <c r="A107" s="26" t="s">
        <v>131</v>
      </c>
      <c r="B107" s="26"/>
      <c r="C107" s="26"/>
      <c r="D107" s="26"/>
      <c r="E107" s="26"/>
    </row>
    <row r="108" customFormat="false" ht="24" hidden="false" customHeight="true" outlineLevel="0" collapsed="false">
      <c r="A108" s="26" t="s">
        <v>132</v>
      </c>
      <c r="B108" s="26"/>
      <c r="C108" s="26"/>
      <c r="D108" s="26"/>
      <c r="E108" s="26"/>
    </row>
    <row r="109" customFormat="false" ht="24" hidden="false" customHeight="true" outlineLevel="0" collapsed="false">
      <c r="A109" s="26" t="s">
        <v>133</v>
      </c>
      <c r="B109" s="26"/>
      <c r="C109" s="26"/>
      <c r="D109" s="26"/>
      <c r="E109" s="26"/>
    </row>
    <row r="110" customFormat="false" ht="24" hidden="false" customHeight="true" outlineLevel="0" collapsed="false">
      <c r="A110" s="26" t="s">
        <v>134</v>
      </c>
      <c r="B110" s="26"/>
      <c r="C110" s="26"/>
      <c r="D110" s="26"/>
      <c r="E110" s="26"/>
    </row>
    <row r="112" customFormat="false" ht="21.75" hidden="false" customHeight="true" outlineLevel="0" collapsed="false">
      <c r="A112" s="3" t="s">
        <v>135</v>
      </c>
      <c r="B112" s="3"/>
      <c r="C112" s="3"/>
      <c r="D112" s="3"/>
      <c r="E112" s="3"/>
    </row>
    <row r="113" customFormat="false" ht="15" hidden="false" customHeight="false" outlineLevel="0" collapsed="false">
      <c r="A113" s="26" t="s">
        <v>136</v>
      </c>
      <c r="B113" s="26"/>
      <c r="C113" s="26"/>
      <c r="D113" s="26"/>
      <c r="E113" s="26"/>
    </row>
    <row r="114" customFormat="false" ht="26.85" hidden="false" customHeight="false" outlineLevel="0" collapsed="false">
      <c r="A114" s="28" t="s">
        <v>137</v>
      </c>
      <c r="B114" s="28" t="s">
        <v>138</v>
      </c>
      <c r="C114" s="28" t="s">
        <v>139</v>
      </c>
      <c r="D114" s="28" t="s">
        <v>140</v>
      </c>
      <c r="E114" s="28" t="s">
        <v>141</v>
      </c>
    </row>
    <row r="115" customFormat="false" ht="15" hidden="false" customHeight="false" outlineLevel="0" collapsed="false">
      <c r="A115" s="17" t="s">
        <v>142</v>
      </c>
      <c r="B115" s="18" t="n">
        <f aca="false">I89</f>
        <v>10</v>
      </c>
      <c r="C115" s="29" t="n">
        <f aca="false">B48</f>
        <v>0.384</v>
      </c>
      <c r="D115" s="18" t="s">
        <v>143</v>
      </c>
      <c r="E115" s="30" t="n">
        <f aca="false">B115*C115*D115</f>
        <v>2803.2</v>
      </c>
    </row>
    <row r="116" customFormat="false" ht="15" hidden="false" customHeight="false" outlineLevel="0" collapsed="false">
      <c r="A116" s="17" t="s">
        <v>144</v>
      </c>
      <c r="B116" s="18" t="n">
        <f aca="false">I90</f>
        <v>6</v>
      </c>
      <c r="C116" s="29" t="n">
        <f aca="false">B49</f>
        <v>0.192</v>
      </c>
      <c r="D116" s="18" t="s">
        <v>143</v>
      </c>
      <c r="E116" s="30" t="n">
        <f aca="false">B116*C116*D116</f>
        <v>840.96</v>
      </c>
    </row>
    <row r="117" customFormat="false" ht="15" hidden="false" customHeight="false" outlineLevel="0" collapsed="false">
      <c r="A117" s="17" t="s">
        <v>145</v>
      </c>
      <c r="B117" s="18" t="n">
        <f aca="false">I91</f>
        <v>1</v>
      </c>
      <c r="C117" s="29" t="n">
        <f aca="false">B50</f>
        <v>0.614</v>
      </c>
      <c r="D117" s="18" t="n">
        <f aca="false">B52</f>
        <v>100</v>
      </c>
      <c r="E117" s="30" t="n">
        <f aca="false">B117*C117*D117</f>
        <v>61.4</v>
      </c>
    </row>
    <row r="118" customFormat="false" ht="15" hidden="false" customHeight="false" outlineLevel="0" collapsed="false">
      <c r="A118" s="17" t="s">
        <v>146</v>
      </c>
      <c r="B118" s="18" t="n">
        <f aca="false">C102</f>
        <v>19683</v>
      </c>
      <c r="C118" s="29" t="n">
        <f aca="false">B51</f>
        <v>0.023</v>
      </c>
      <c r="D118" s="18" t="s">
        <v>147</v>
      </c>
      <c r="E118" s="30" t="n">
        <f aca="false">B118*C118*D118</f>
        <v>452.709</v>
      </c>
    </row>
    <row r="119" customFormat="false" ht="15" hidden="false" customHeight="false" outlineLevel="0" collapsed="false">
      <c r="A119" s="20" t="s">
        <v>148</v>
      </c>
      <c r="B119" s="20"/>
      <c r="C119" s="20"/>
      <c r="D119" s="20"/>
      <c r="E119" s="31" t="n">
        <f aca="false">SUM(E115:E118)</f>
        <v>4158.269</v>
      </c>
    </row>
    <row r="121" customFormat="false" ht="15" hidden="false" customHeight="false" outlineLevel="0" collapsed="false">
      <c r="A121" s="15" t="s">
        <v>149</v>
      </c>
    </row>
    <row r="122" customFormat="false" ht="15" hidden="false" customHeight="false" outlineLevel="0" collapsed="false">
      <c r="A122" s="15" t="s">
        <v>150</v>
      </c>
    </row>
  </sheetData>
  <mergeCells count="13">
    <mergeCell ref="A1:E1"/>
    <mergeCell ref="A2:E2"/>
    <mergeCell ref="A4:E4"/>
    <mergeCell ref="A55:E55"/>
    <mergeCell ref="A73:E73"/>
    <mergeCell ref="A93:I93"/>
    <mergeCell ref="A95:E95"/>
    <mergeCell ref="A107:E107"/>
    <mergeCell ref="A108:E108"/>
    <mergeCell ref="A109:E109"/>
    <mergeCell ref="A110:E110"/>
    <mergeCell ref="A112:E112"/>
    <mergeCell ref="A113:E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2026-07-08T05:11:35Z</dcterms:created>
  <dc:creator>openpyxl</dc:creator>
  <dc:description/>
  <dc:language>en-US</dc:language>
  <cp:lastModifiedBy/>
  <dcterms:modified xsi:type="dcterms:W3CDTF">2026-07-08T05:11:35Z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