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st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You have 10 clusters total. This model is scoped to 1 cluster for now — see 'total clusters' reference row for a 10x extrapolation in the Live Summary.</t>
        </r>
      </text>
    </comment>
    <comment ref="C6" authorId="0">
      <text>
        <r>
          <rPr>
            <sz val="10"/>
            <rFont val="Arial"/>
            <family val="2"/>
          </rPr>
          <t xml:space="preserve">Used only for the extrapolated 'full environment' row — does not affect the core totals.</t>
        </r>
      </text>
    </comment>
    <comment ref="C10" authorId="0">
      <text>
        <r>
          <rPr>
            <sz val="10"/>
            <rFont val="Arial"/>
            <family val="2"/>
          </rPr>
          <t xml:space="preserve">Placeholder: (server purchase price / useful-life hours) + power + colo + pro-rated ops overhead. Replace with your real TCO-per-node.</t>
        </r>
      </text>
    </comment>
    <comment ref="C11" authorId="0">
      <text>
        <r>
          <rPr>
            <sz val="10"/>
            <rFont val="Arial"/>
            <family val="2"/>
          </rPr>
          <t xml:space="preserve">0 for vanilla kubeadm. Enter a per-cluster fee if using a licensed distro (OpenShift, Rancher, Tanzu).</t>
        </r>
      </text>
    </comment>
    <comment ref="C17" authorId="0">
      <text>
        <r>
          <rPr>
            <sz val="10"/>
            <rFont val="Arial"/>
            <family val="2"/>
          </rPr>
          <t xml:space="preserve">Both are open-source; 0 assumes no commercial support contract. Enter a real figure if you have one (e.g. Grafana Cloud support).</t>
        </r>
      </text>
    </comment>
    <comment ref="C18" authorId="0">
      <text>
        <r>
          <rPr>
            <sz val="10"/>
            <rFont val="Arial"/>
            <family val="2"/>
          </rPr>
          <t xml:space="preserve">Open-source eBPF agents are free to run — leave at 0 unless you pay a per-host fee for a managed variant.</t>
        </r>
      </text>
    </comment>
    <comment ref="C19" authorId="0">
      <text>
        <r>
          <rPr>
            <sz val="10"/>
            <rFont val="Arial"/>
            <family val="2"/>
          </rPr>
          <t xml:space="preserve">FLAGGED — STALE: this was sized against a 1-minute refresh placeholder. Refresh interval is now 15 seconds (4x more frequent) via Caretta's scrape interval below. Re-size this once you know real compute needs at 15s cadence.</t>
        </r>
      </text>
    </comment>
    <comment ref="C23" authorId="0">
      <text>
        <r>
          <rPr>
            <sz val="10"/>
            <rFont val="Arial"/>
            <family val="2"/>
          </rPr>
          <t xml:space="preserve">FLAGGED: read as series-cardinality per metric (i.e., distinct time series once label values combine), not a literal label-key count. Correct if you meant something else.</t>
        </r>
      </text>
    </comment>
    <comment ref="C25" authorId="0">
      <text>
        <r>
          <rPr>
            <sz val="10"/>
            <rFont val="Arial"/>
            <family val="2"/>
          </rPr>
          <t xml:space="preserve">FLAGGED: typical Prometheus/Mimir remote-write compresses to ~1-4 bytes/sample (protobuf + Snappy). Shared by both telemetry streams below — validate against your ingester's observed rate if available.</t>
        </r>
      </text>
    </comment>
    <comment ref="C34" authorId="0">
      <text>
        <r>
          <rPr>
            <sz val="10"/>
            <rFont val="Arial"/>
            <family val="2"/>
          </rPr>
          <t xml:space="preserve">This is the master cadence: how often Caretta metrics are scraped AND how often the topology graph recomputes.</t>
        </r>
      </text>
    </comment>
    <comment ref="C35" authorId="0">
      <text>
        <r>
          <rPr>
            <sz val="10"/>
            <rFont val="Arial"/>
            <family val="2"/>
          </rPr>
          <t xml:space="preserve">FLAGGED: default assumes Caretta metrics are modeled at per-service granularity (1x). If Caretta actually emits metrics per source-destination service PAIR, raise this toward your real average fan-out per service — edge count can be O(n^2) in a dense mesh, so this can materially change cardinality.</t>
        </r>
      </text>
    </comment>
    <comment ref="C44" authorId="0">
      <text>
        <r>
          <rPr>
            <sz val="10"/>
            <rFont val="Arial"/>
            <family val="2"/>
          </rPr>
          <t xml:space="preserve">0 for self-hosted Mimir (cost already captured in 'graph engine compute' above). Set &gt;0 only for a paid managed metrics service.</t>
        </r>
      </text>
    </comment>
    <comment ref="C45" authorId="0">
      <text>
        <r>
          <rPr>
            <sz val="10"/>
            <rFont val="Arial"/>
            <family val="2"/>
          </rPr>
          <t xml:space="preserve">On-prem storage is typically cheaper than cloud object storage list price but has upfront capex — treat as amortized $/GB-month.</t>
        </r>
      </text>
    </comment>
    <comment ref="C47" authorId="0">
      <text>
        <r>
          <rPr>
            <sz val="10"/>
            <rFont val="Arial"/>
            <family val="2"/>
          </rPr>
          <t xml:space="preserve">Set to 0: single cluster, single region for now. Re-enable if you replicate to a DR site or ship data off-prem.</t>
        </r>
      </text>
    </comment>
    <comment ref="C51" authorId="0">
      <text>
        <r>
          <rPr>
            <sz val="10"/>
            <rFont val="Arial"/>
            <family val="2"/>
          </rPr>
          <t xml:space="preserve">Deliberately decoupled from the 15s topology refresh to control token spend. 24 = hourly summaries/annotations.</t>
        </r>
      </text>
    </comment>
    <comment ref="C53" authorId="0">
      <text>
        <r>
          <rPr>
            <sz val="10"/>
            <rFont val="Arial"/>
            <family val="2"/>
          </rPr>
          <t xml:space="preserve">Context per pod: relevant NetworkPolicy/mesh config + recent Mimir/flow excerpt + prompt overhead.</t>
        </r>
      </text>
    </comment>
    <comment ref="C54" authorId="0">
      <text>
        <r>
          <rPr>
            <sz val="10"/>
            <rFont val="Arial"/>
            <family val="2"/>
          </rPr>
          <t xml:space="preserve">Model output per pod: inferred edges/paths + short explanation.</t>
        </r>
      </text>
    </comment>
  </commentList>
</comments>
</file>

<file path=xl/sharedStrings.xml><?xml version="1.0" encoding="utf-8"?>
<sst xmlns="http://schemas.openxmlformats.org/spreadsheetml/2006/main" count="212" uniqueCount="181">
  <si>
    <t xml:space="preserve">K8s Network Path Mapping — Cost Model (single-tab edition)</t>
  </si>
  <si>
    <t xml:space="preserve">WHAT CHANGED IN THIS VERSION</t>
  </si>
  <si>
    <t xml:space="preserve">  - Everything now lives on ONE tab ('Cost Model') so editing an input and seeing every downstream number</t>
  </si>
  <si>
    <t xml:space="preserve">    (including the Live Summary panel, top-right) doesn't require switching tabs.</t>
  </si>
  <si>
    <t xml:space="preserve">  - Tool names corrected: 'Beyla' (Grafana's eBPF auto-instrumentation product, generates general service</t>
  </si>
  <si>
    <t xml:space="preserve">    telemetry) and 'Caretta' (open-source eBPF tool that hooks socket connections to aggregate</t>
  </si>
  <si>
    <t xml:space="preserve">    service-to-service communication, purpose-built for network/topology mapping) — not 'Bayla'/'Carey's'.</t>
  </si>
  <si>
    <t xml:space="preserve">  - Data volume is now derived, not guessed: active time series -&gt; samples/sec (using your refresh</t>
  </si>
  <si>
    <t xml:space="preserve">    interval) -&gt; bytes/sec (using an editable bytes-per-sample assumption) -&gt; GB/day. This replaces the</t>
  </si>
  <si>
    <t xml:space="preserve">    earlier flat 'GB/day' placeholder with real formulas built from cardinality and scrape interval.</t>
  </si>
  <si>
    <t xml:space="preserve">  - Two separate metric streams feed Mimir: (1) Beyla general service telemetry (20 metrics/service x 16</t>
  </si>
  <si>
    <t xml:space="preserve">    label-value-combinations/metric) and (2) Caretta network-mapping telemetry (10 metrics x 12</t>
  </si>
  <si>
    <t xml:space="preserve">    label-value-combinations/metric), each with its own scrape/refresh interval. Caretta's interval</t>
  </si>
  <si>
    <t xml:space="preserve">    (15 seconds) is also used as the topology refresh interval, replacing the earlier 1-minute placeholder.</t>
  </si>
  <si>
    <t xml:space="preserve">HOW THE REFRESH-RATE -&gt; THROUGHPUT MATH WORKS (see 'Cost Model' tab, Sections 3 and 4)</t>
  </si>
  <si>
    <t xml:space="preserve">  1. Active series = entities (services) x metrics per entity x label-value combinations per metric.</t>
  </si>
  <si>
    <t xml:space="preserve">  2. Samples/sec = active series / scrape (refresh) interval in seconds. Shortening the interval directly</t>
  </si>
  <si>
    <t xml:space="preserve">     increases this — going from 60s to 15s is a 4x increase in ingestion rate for the same series count.</t>
  </si>
  <si>
    <t xml:space="preserve">  3. Bytes/sec = samples/sec x bytes-per-sample. Prometheus/Mimir remote-write typically compresses to</t>
  </si>
  <si>
    <t xml:space="preserve">     roughly 1-4 bytes/sample (protobuf + Snappy); this is an editable assumption, not a fixed constant —</t>
  </si>
  <si>
    <t xml:space="preserve">     validate against your own ingester's observed bytes-per-sample if you have it.</t>
  </si>
  <si>
    <t xml:space="preserve">  4. GB/day = bytes/sec x 86,400 seconds/day / 1e9.</t>
  </si>
  <si>
    <t xml:space="preserve">FLAGGED FOR YOUR CONFIRMATION (orange cells)</t>
  </si>
  <si>
    <t xml:space="preserve">  - Bytes-per-sample assumption (2 bytes, compressed remote-write placeholder).</t>
  </si>
  <si>
    <t xml:space="preserve">  - 'Label-value combinations per metric' is read as actual series-cardinality-per-metric (i.e., how many</t>
  </si>
  <si>
    <t xml:space="preserve">    distinct series each metric produces once all label values are combined), not a literal count of label</t>
  </si>
  <si>
    <t xml:space="preserve">    keys. If you meant label *keys* (dimensions) rather than cardinality, the active-series formula needs</t>
  </si>
  <si>
    <t xml:space="preserve">    your actual value-cardinality per label to convert — flag it and I'll adjust.</t>
  </si>
  <si>
    <t xml:space="preserve">  - Caretta/topology metrics are modeled at per-service granularity with an 'edge multiplier' (default 1x).</t>
  </si>
  <si>
    <t xml:space="preserve">    If Caretta actually emits metrics per source-destination service PAIR (edges) rather than per service,</t>
  </si>
  <si>
    <t xml:space="preserve">    raise the edge multiplier toward your real average fan-out per service — this can materially change</t>
  </si>
  <si>
    <t xml:space="preserve">    cardinality since edges can be O(n^2) in a dense mesh.</t>
  </si>
  <si>
    <t xml:space="preserve">  - 'Topology graph engine compute' ($600/month) hasn't been re-sized for the new 15-second refresh</t>
  </si>
  <si>
    <t xml:space="preserve">    interval (previously modeled at 1 minute, i.e. 4x less frequent) — treat this as stale until you</t>
  </si>
  <si>
    <t xml:space="preserve">    confirm real compute sizing at 15s cadence.</t>
  </si>
  <si>
    <t xml:space="preserve">LLM PRICING SOURCE</t>
  </si>
  <si>
    <t xml:space="preserve">  Verified against platform.claude.com/docs/en/about-claude/pricing on 2026-09-10. Re-check before</t>
  </si>
  <si>
    <t xml:space="preserve">  finalizing a budget — Anthropic pricing can change.</t>
  </si>
  <si>
    <t xml:space="preserve">INPUTS &amp; CALCULATIONS — yellow = edit, orange = flagged assumption</t>
  </si>
  <si>
    <t xml:space="preserve">LIVE SUMMARY</t>
  </si>
  <si>
    <t xml:space="preserve">1. ENVIRONMENT SCALE (on-prem)</t>
  </si>
  <si>
    <t xml:space="preserve">Cost bucket</t>
  </si>
  <si>
    <t xml:space="preserve">Monthly $</t>
  </si>
  <si>
    <t xml:space="preserve">Annual $</t>
  </si>
  <si>
    <t xml:space="preserve">Infrastructure type</t>
  </si>
  <si>
    <t xml:space="preserve">On-Prem</t>
  </si>
  <si>
    <t xml:space="preserve">On-Prem / AWS / GCP / Azure / hybrid</t>
  </si>
  <si>
    <t xml:space="preserve">Infrastructure</t>
  </si>
  <si>
    <t xml:space="preserve">Clusters included in THIS estimate</t>
  </si>
  <si>
    <t xml:space="preserve">clusters</t>
  </si>
  <si>
    <t xml:space="preserve">Data throughput (Mimir)</t>
  </si>
  <si>
    <t xml:space="preserve">Total clusters in full environment (reference only)</t>
  </si>
  <si>
    <t xml:space="preserve">Claude reference layer</t>
  </si>
  <si>
    <t xml:space="preserve">Nodes per cluster</t>
  </si>
  <si>
    <t xml:space="preserve">nodes/cluster</t>
  </si>
  <si>
    <t xml:space="preserve">Services per cluster</t>
  </si>
  <si>
    <t xml:space="preserve">services/cluster</t>
  </si>
  <si>
    <t xml:space="preserve">TOTAL (this cluster)</t>
  </si>
  <si>
    <t xml:space="preserve">Pods per cluster</t>
  </si>
  <si>
    <t xml:space="preserve">pods/cluster</t>
  </si>
  <si>
    <t xml:space="preserve">On-prem cost per node (amortized)</t>
  </si>
  <si>
    <t xml:space="preserve">$/hour equivalent</t>
  </si>
  <si>
    <t xml:space="preserve">Extrapolated, full env. (x10, naive)</t>
  </si>
  <si>
    <t xml:space="preserve">Self-managed control-plane / distro license fee</t>
  </si>
  <si>
    <t xml:space="preserve">$/hour/cluster</t>
  </si>
  <si>
    <t xml:space="preserve">Total Mimir ingestion volume</t>
  </si>
  <si>
    <t xml:space="preserve">2. TOOLING — eBPF-based observability &amp; network mapping</t>
  </si>
  <si>
    <t xml:space="preserve">  - Beyla (general telemetry)</t>
  </si>
  <si>
    <t xml:space="preserve">Telemetry pipeline</t>
  </si>
  <si>
    <t xml:space="preserve">Prometheus -&gt; Mimir (centralized)</t>
  </si>
  <si>
    <t xml:space="preserve">per-cluster Prometheus remote-write to central Mimir</t>
  </si>
  <si>
    <t xml:space="preserve">  - Caretta (mapping telemetry)</t>
  </si>
  <si>
    <t xml:space="preserve">General service telemetry tool</t>
  </si>
  <si>
    <t xml:space="preserve">Beyla (Grafana)</t>
  </si>
  <si>
    <t xml:space="preserve">eBPF auto-instrumentation — RED-style metrics per service</t>
  </si>
  <si>
    <t xml:space="preserve">Topology refresh interval</t>
  </si>
  <si>
    <t xml:space="preserve">Network path mapping tool</t>
  </si>
  <si>
    <t xml:space="preserve">Caretta (open-source eBPF)</t>
  </si>
  <si>
    <t xml:space="preserve">hooks socket connections to aggregate service-to-service communication</t>
  </si>
  <si>
    <t xml:space="preserve">Flat monthly license — Beyla/Caretta + add-ons</t>
  </si>
  <si>
    <t xml:space="preserve">$/month</t>
  </si>
  <si>
    <t xml:space="preserve">Reminder: directional model — see README + flagged (orange) cells.</t>
  </si>
  <si>
    <t xml:space="preserve">Per-host agent cost</t>
  </si>
  <si>
    <t xml:space="preserve">$/host/month</t>
  </si>
  <si>
    <t xml:space="preserve">Topology graph engine compute (graph-builder + Mimir query load)</t>
  </si>
  <si>
    <t xml:space="preserve">3. DATA VOLUME — General service telemetry (Beyla)</t>
  </si>
  <si>
    <t xml:space="preserve">Metrics per service</t>
  </si>
  <si>
    <t xml:space="preserve">metrics/service</t>
  </si>
  <si>
    <t xml:space="preserve">Label-value combinations per metric (cardinality)</t>
  </si>
  <si>
    <t xml:space="preserve">series/metric</t>
  </si>
  <si>
    <t xml:space="preserve">Scrape interval</t>
  </si>
  <si>
    <t xml:space="preserve">seconds</t>
  </si>
  <si>
    <t xml:space="preserve">Bytes per sample (compressed remote-write)</t>
  </si>
  <si>
    <t xml:space="preserve">bytes/sample</t>
  </si>
  <si>
    <t xml:space="preserve">-&gt; Total services (clusters modeled x services/cluster)</t>
  </si>
  <si>
    <t xml:space="preserve">services</t>
  </si>
  <si>
    <t xml:space="preserve">-&gt; Active series (general)</t>
  </si>
  <si>
    <t xml:space="preserve">series</t>
  </si>
  <si>
    <t xml:space="preserve">-&gt; Ingestion rate (active series / scrape interval)</t>
  </si>
  <si>
    <t xml:space="preserve">samples/sec</t>
  </si>
  <si>
    <t xml:space="preserve">-&gt; Data volume (samples/sec x bytes/sample x 86,400 / 1e9)</t>
  </si>
  <si>
    <t xml:space="preserve">GB/day</t>
  </si>
  <si>
    <t xml:space="preserve">4. DATA VOLUME — Network path mapping (Caretta)</t>
  </si>
  <si>
    <t xml:space="preserve">Metrics for mapping</t>
  </si>
  <si>
    <t xml:space="preserve">metrics</t>
  </si>
  <si>
    <t xml:space="preserve">Refresh / scrape interval — ALSO sets topology refresh rate</t>
  </si>
  <si>
    <t xml:space="preserve">Edge multiplier (series-pairs per service, if edge-level cardinality applies)</t>
  </si>
  <si>
    <t xml:space="preserve">x</t>
  </si>
  <si>
    <t xml:space="preserve">-&gt; Active series (mapping)</t>
  </si>
  <si>
    <t xml:space="preserve">-&gt; Ingestion rate (active series / refresh interval)</t>
  </si>
  <si>
    <t xml:space="preserve">-&gt; Topology refreshes per day (reference)</t>
  </si>
  <si>
    <t xml:space="preserve">refreshes/day</t>
  </si>
  <si>
    <t xml:space="preserve">5. MIMIR INGESTION, STORAGE &amp; RETENTION (combined streams, single region)</t>
  </si>
  <si>
    <t xml:space="preserve">Total Mimir ingestion volume (Beyla + Caretta)</t>
  </si>
  <si>
    <t xml:space="preserve">Total Mimir ingestion volume (monthly)</t>
  </si>
  <si>
    <t xml:space="preserve">GB/month</t>
  </si>
  <si>
    <t xml:space="preserve">Mimir ingestion cost</t>
  </si>
  <si>
    <t xml:space="preserve">$/GB ingested</t>
  </si>
  <si>
    <t xml:space="preserve">On-prem storage cost (local SSD/Ceph/object store)</t>
  </si>
  <si>
    <t xml:space="preserve">$/GB-month</t>
  </si>
  <si>
    <t xml:space="preserve">Retention period</t>
  </si>
  <si>
    <t xml:space="preserve">days</t>
  </si>
  <si>
    <t xml:space="preserve">Cross-AZ/region egress volume</t>
  </si>
  <si>
    <t xml:space="preserve">Egress cost</t>
  </si>
  <si>
    <t xml:space="preserve">$/GB</t>
  </si>
  <si>
    <t xml:space="preserve">6. CLAUDE REFERENCE / ANNOTATION LAYER (lower frequency, on top of the graph model)</t>
  </si>
  <si>
    <t xml:space="preserve">Claude reference-layer runs per day</t>
  </si>
  <si>
    <t xml:space="preserve">runs/day</t>
  </si>
  <si>
    <t xml:space="preserve">-&gt; Pods analyzed per run (reference)</t>
  </si>
  <si>
    <t xml:space="preserve">pods/run</t>
  </si>
  <si>
    <t xml:space="preserve">Avg input tokens per pod-path</t>
  </si>
  <si>
    <t xml:space="preserve">tokens/pod</t>
  </si>
  <si>
    <t xml:space="preserve">Avg output tokens per pod-path</t>
  </si>
  <si>
    <t xml:space="preserve">Model</t>
  </si>
  <si>
    <t xml:space="preserve">Claude Sonnet 5</t>
  </si>
  <si>
    <t xml:space="preserve">Haiku 4.5 / Sonnet 5 / Opus 5 (pricing table below)</t>
  </si>
  <si>
    <t xml:space="preserve">Use Batch API? (Y/N)</t>
  </si>
  <si>
    <t xml:space="preserve">N</t>
  </si>
  <si>
    <t xml:space="preserve">Y = 50% off but async — fine if hourly summaries don't need to be instant.</t>
  </si>
  <si>
    <t xml:space="preserve">7. CLAUDE API PRICING REFERENCE (verified platform.claude.com/docs, 2026-09-10)</t>
  </si>
  <si>
    <t xml:space="preserve">Input $/MTok</t>
  </si>
  <si>
    <t xml:space="preserve">Output $/MTok</t>
  </si>
  <si>
    <t xml:space="preserve">Batch Input $/MTok</t>
  </si>
  <si>
    <t xml:space="preserve">Batch Output $/MTok</t>
  </si>
  <si>
    <t xml:space="preserve">Claude Haiku 4.5</t>
  </si>
  <si>
    <t xml:space="preserve">Claude Opus 5</t>
  </si>
  <si>
    <t xml:space="preserve">8. CALCULATED COST — Infrastructure (monthly)</t>
  </si>
  <si>
    <t xml:space="preserve">K8s node compute (on-prem, amortized)</t>
  </si>
  <si>
    <t xml:space="preserve">$/mo</t>
  </si>
  <si>
    <t xml:space="preserve">Self-managed control-plane / distro license</t>
  </si>
  <si>
    <t xml:space="preserve">Beyla/Caretta + tooling license</t>
  </si>
  <si>
    <t xml:space="preserve">Topology graph engine compute</t>
  </si>
  <si>
    <t xml:space="preserve">TOTAL INFRASTRUCTURE (monthly)</t>
  </si>
  <si>
    <t xml:space="preserve">9. CALCULATED COST — Data Throughput / Mimir (monthly)</t>
  </si>
  <si>
    <t xml:space="preserve">Mimir ingestion</t>
  </si>
  <si>
    <t xml:space="preserve">On-prem storage (at retention)</t>
  </si>
  <si>
    <t xml:space="preserve">Cross-AZ/region egress</t>
  </si>
  <si>
    <t xml:space="preserve">TOTAL DATA THROUGHPUT (monthly)</t>
  </si>
  <si>
    <t xml:space="preserve">10. CALCULATED COST — Claude Reference Layer (monthly)</t>
  </si>
  <si>
    <t xml:space="preserve">Pod-path analyses per day</t>
  </si>
  <si>
    <t xml:space="preserve">analyses/day</t>
  </si>
  <si>
    <t xml:space="preserve">Pod-path analyses per month</t>
  </si>
  <si>
    <t xml:space="preserve">analyses/mo</t>
  </si>
  <si>
    <t xml:space="preserve">Total input tokens / month</t>
  </si>
  <si>
    <t xml:space="preserve">tokens</t>
  </si>
  <si>
    <t xml:space="preserve">Total output tokens / month</t>
  </si>
  <si>
    <t xml:space="preserve">Effective input price (model + batch lookup)</t>
  </si>
  <si>
    <t xml:space="preserve">$/MTok</t>
  </si>
  <si>
    <t xml:space="preserve">Effective output price (model + batch lookup)</t>
  </si>
  <si>
    <t xml:space="preserve">Input token cost</t>
  </si>
  <si>
    <t xml:space="preserve">Output token cost</t>
  </si>
  <si>
    <t xml:space="preserve">TOTAL CLAUDE TOKEN COST (monthly)</t>
  </si>
  <si>
    <t xml:space="preserve">11. GRAND TOTAL &amp; EXTRAPOLATION</t>
  </si>
  <si>
    <t xml:space="preserve">GRAND TOTAL (monthly, this cluster)</t>
  </si>
  <si>
    <t xml:space="preserve">GRAND TOTAL (annual, this cluster)</t>
  </si>
  <si>
    <t xml:space="preserve">$/yr</t>
  </si>
  <si>
    <t xml:space="preserve">Extrapolated total, full environment (naive x10)</t>
  </si>
  <si>
    <t xml:space="preserve">Cost per pod mapped (infra+data / pods)</t>
  </si>
  <si>
    <t xml:space="preserve">$/pod/mo</t>
  </si>
  <si>
    <t xml:space="preserve">Claude cost per reference run</t>
  </si>
  <si>
    <t xml:space="preserve">$/run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</si>
</sst>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#,##0.00&quot; GB/day&quot;"/>
    <numFmt numFmtId="167" formatCode="#,##0.000&quot; GB/day&quot;"/>
    <numFmt numFmtId="168" formatCode="0&quot; sec&quot;"/>
    <numFmt numFmtId="169" formatCode="#,##0"/>
    <numFmt numFmtId="170" formatCode="#,##0.0"/>
    <numFmt numFmtId="171" formatCode="#,##0.000"/>
    <numFmt numFmtId="172" formatCode="#,##0.00"/>
    <numFmt numFmtId="173" formatCode="\$#,##0.00;&quot;($&quot;#,##0.0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i val="true"/>
      <sz val="9.5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EDF1F9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F1F9"/>
      </patternFill>
    </fill>
    <fill>
      <patternFill patternType="solid">
        <fgColor rgb="FFD9D9D9"/>
        <bgColor rgb="FFD9E2F3"/>
      </patternFill>
    </fill>
    <fill>
      <patternFill patternType="solid">
        <fgColor rgb="FFFBE5D6"/>
        <bgColor rgb="FFE2EFDA"/>
      </patternFill>
    </fill>
    <fill>
      <patternFill patternType="solid">
        <fgColor rgb="FFFFD966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9F9F9"/>
      <rgbColor rgb="FFEDF1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BE5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Cost by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Model'!G3</c:f>
              <c:strCache>
                <c:ptCount val="1"/>
                <c:pt idx="0">
                  <c:v>Monthly $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Model'!$F$4:$F$6</c:f>
              <c:strCache>
                <c:ptCount val="3"/>
                <c:pt idx="0">
                  <c:v>Infrastructure</c:v>
                </c:pt>
                <c:pt idx="1">
                  <c:v>Data throughput (Mimir)</c:v>
                </c:pt>
                <c:pt idx="2">
                  <c:v>Claude reference layer</c:v>
                </c:pt>
              </c:strCache>
            </c:strRef>
          </c:cat>
          <c:val>
            <c:numRef>
              <c:f>'Cost Model'!$G$4:$G$6</c:f>
              <c:numCache>
                <c:formatCode>\$#,##0;"($"#,##0\);\-</c:formatCode>
                <c:ptCount val="3"/>
                <c:pt idx="0">
                  <c:v>1695</c:v>
                </c:pt>
                <c:pt idx="1">
                  <c:v>0.0228096</c:v>
                </c:pt>
                <c:pt idx="2">
                  <c:v>103.68</c:v>
                </c:pt>
              </c:numCache>
            </c:numRef>
          </c:val>
        </c:ser>
        <c:gapWidth val="150"/>
        <c:overlap val="0"/>
        <c:axId val="51134297"/>
        <c:axId val="8148468"/>
      </c:barChart>
      <c:catAx>
        <c:axId val="51134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8468"/>
        <c:crosses val="autoZero"/>
        <c:auto val="1"/>
        <c:lblAlgn val="ctr"/>
        <c:lblOffset val="100"/>
        <c:noMultiLvlLbl val="0"/>
      </c:catAx>
      <c:valAx>
        <c:axId val="8148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34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16</xdr:row>
      <xdr:rowOff>43920</xdr:rowOff>
    </xdr:from>
    <xdr:to>
      <xdr:col>9</xdr:col>
      <xdr:colOff>136080</xdr:colOff>
      <xdr:row>31</xdr:row>
      <xdr:rowOff>133560</xdr:rowOff>
    </xdr:to>
    <xdr:graphicFrame>
      <xdr:nvGraphicFramePr>
        <xdr:cNvPr id="0" name="Chart 1"/>
        <xdr:cNvGraphicFramePr/>
      </xdr:nvGraphicFramePr>
      <xdr:xfrm>
        <a:off x="8035200" y="3514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  <row r="23" customFormat="false" ht="15" hidden="false" customHeight="false" outlineLevel="0" collapsed="false">
      <c r="A23" s="2" t="s">
        <v>20</v>
      </c>
    </row>
    <row r="24" customFormat="false" ht="15" hidden="false" customHeight="false" outlineLevel="0" collapsed="false">
      <c r="A24" s="2" t="s">
        <v>21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2" t="s">
        <v>26</v>
      </c>
    </row>
    <row r="31" customFormat="false" ht="15" hidden="false" customHeight="false" outlineLevel="0" collapsed="false">
      <c r="A31" s="2" t="s">
        <v>27</v>
      </c>
    </row>
    <row r="32" customFormat="false" ht="15" hidden="false" customHeight="false" outlineLevel="0" collapsed="false">
      <c r="A32" s="2" t="s">
        <v>28</v>
      </c>
    </row>
    <row r="33" customFormat="false" ht="15" hidden="false" customHeight="false" outlineLevel="0" collapsed="false">
      <c r="A33" s="2" t="s">
        <v>29</v>
      </c>
    </row>
    <row r="34" customFormat="false" ht="15" hidden="false" customHeight="false" outlineLevel="0" collapsed="false">
      <c r="A34" s="2" t="s">
        <v>30</v>
      </c>
    </row>
    <row r="35" customFormat="false" ht="15" hidden="false" customHeight="false" outlineLevel="0" collapsed="false">
      <c r="A35" s="2" t="s">
        <v>31</v>
      </c>
    </row>
    <row r="36" customFormat="false" ht="15" hidden="false" customHeight="false" outlineLevel="0" collapsed="false">
      <c r="A36" s="2" t="s">
        <v>32</v>
      </c>
    </row>
    <row r="37" customFormat="false" ht="15" hidden="false" customHeight="false" outlineLevel="0" collapsed="false">
      <c r="A37" s="2" t="s">
        <v>33</v>
      </c>
    </row>
    <row r="38" customFormat="false" ht="15" hidden="false" customHeight="false" outlineLevel="0" collapsed="false">
      <c r="A38" s="2" t="s">
        <v>34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3" t="s">
        <v>35</v>
      </c>
    </row>
    <row r="41" customFormat="false" ht="15" hidden="false" customHeight="false" outlineLevel="0" collapsed="false">
      <c r="A41" s="2" t="s">
        <v>36</v>
      </c>
    </row>
    <row r="42" customFormat="false" ht="15" hidden="false" customHeight="false" outlineLevel="0" collapsed="false">
      <c r="A42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6" topLeftCell="B37" activePane="bottomRight" state="frozen"/>
      <selection pane="topLeft" activeCell="A1" activeCellId="0" sqref="A1"/>
      <selection pane="topRight" activeCell="B1" activeCellId="0" sqref="B1"/>
      <selection pane="bottomLeft" activeCell="A37" activeCellId="0" sqref="A3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8" min="7" style="0" width="16"/>
  </cols>
  <sheetData>
    <row r="1" customFormat="false" ht="21.75" hidden="false" customHeight="true" outlineLevel="0" collapsed="false">
      <c r="B1" s="4" t="s">
        <v>38</v>
      </c>
      <c r="C1" s="4"/>
      <c r="D1" s="4"/>
      <c r="F1" s="4" t="s">
        <v>39</v>
      </c>
      <c r="G1" s="4"/>
      <c r="H1" s="4"/>
    </row>
    <row r="3" customFormat="false" ht="15" hidden="false" customHeight="false" outlineLevel="0" collapsed="false">
      <c r="B3" s="5" t="s">
        <v>40</v>
      </c>
      <c r="C3" s="5"/>
      <c r="D3" s="5"/>
      <c r="F3" s="6" t="s">
        <v>41</v>
      </c>
      <c r="G3" s="6" t="s">
        <v>42</v>
      </c>
      <c r="H3" s="6" t="s">
        <v>43</v>
      </c>
    </row>
    <row r="4" customFormat="false" ht="15" hidden="false" customHeight="false" outlineLevel="0" collapsed="false">
      <c r="B4" s="7" t="s">
        <v>44</v>
      </c>
      <c r="C4" s="8" t="s">
        <v>45</v>
      </c>
      <c r="D4" s="7" t="s">
        <v>46</v>
      </c>
      <c r="F4" s="7" t="s">
        <v>47</v>
      </c>
      <c r="G4" s="9" t="n">
        <f aca="false">C71</f>
        <v>1695</v>
      </c>
      <c r="H4" s="9" t="n">
        <f aca="false">G4*12</f>
        <v>20340</v>
      </c>
    </row>
    <row r="5" customFormat="false" ht="15" hidden="false" customHeight="false" outlineLevel="0" collapsed="false">
      <c r="B5" s="7" t="s">
        <v>48</v>
      </c>
      <c r="C5" s="8" t="n">
        <v>1</v>
      </c>
      <c r="D5" s="7" t="s">
        <v>49</v>
      </c>
      <c r="F5" s="7" t="s">
        <v>50</v>
      </c>
      <c r="G5" s="9" t="n">
        <f aca="false">C78</f>
        <v>0.0228096</v>
      </c>
      <c r="H5" s="9" t="n">
        <f aca="false">G5*12</f>
        <v>0.2737152</v>
      </c>
    </row>
    <row r="6" customFormat="false" ht="15" hidden="false" customHeight="false" outlineLevel="0" collapsed="false">
      <c r="B6" s="7" t="s">
        <v>51</v>
      </c>
      <c r="C6" s="8" t="n">
        <v>10</v>
      </c>
      <c r="D6" s="7" t="s">
        <v>49</v>
      </c>
      <c r="F6" s="7" t="s">
        <v>52</v>
      </c>
      <c r="G6" s="9" t="n">
        <f aca="false">C90</f>
        <v>103.68</v>
      </c>
      <c r="H6" s="9" t="n">
        <f aca="false">G6*12</f>
        <v>1244.16</v>
      </c>
    </row>
    <row r="7" customFormat="false" ht="15" hidden="false" customHeight="false" outlineLevel="0" collapsed="false">
      <c r="B7" s="7" t="s">
        <v>53</v>
      </c>
      <c r="C7" s="8" t="n">
        <v>10</v>
      </c>
      <c r="D7" s="7" t="s">
        <v>54</v>
      </c>
    </row>
    <row r="8" customFormat="false" ht="15" hidden="false" customHeight="false" outlineLevel="0" collapsed="false">
      <c r="B8" s="7" t="s">
        <v>55</v>
      </c>
      <c r="C8" s="8" t="n">
        <v>5</v>
      </c>
      <c r="D8" s="7" t="s">
        <v>56</v>
      </c>
      <c r="F8" s="10" t="s">
        <v>57</v>
      </c>
      <c r="G8" s="11" t="n">
        <f aca="false">G4+G5+G6</f>
        <v>1798.7028096</v>
      </c>
      <c r="H8" s="11" t="n">
        <f aca="false">H4+H5+H6</f>
        <v>21584.4337152</v>
      </c>
    </row>
    <row r="9" customFormat="false" ht="15" hidden="false" customHeight="false" outlineLevel="0" collapsed="false">
      <c r="B9" s="7" t="s">
        <v>58</v>
      </c>
      <c r="C9" s="8" t="n">
        <v>40</v>
      </c>
      <c r="D9" s="7" t="s">
        <v>59</v>
      </c>
    </row>
    <row r="10" customFormat="false" ht="15" hidden="false" customHeight="false" outlineLevel="0" collapsed="false">
      <c r="B10" s="7" t="s">
        <v>60</v>
      </c>
      <c r="C10" s="8" t="n">
        <v>0.15</v>
      </c>
      <c r="D10" s="7" t="s">
        <v>61</v>
      </c>
      <c r="F10" s="12" t="s">
        <v>62</v>
      </c>
      <c r="G10" s="13" t="n">
        <f aca="false">C95</f>
        <v>17987.028096</v>
      </c>
      <c r="H10" s="13" t="n">
        <f aca="false">G10*12</f>
        <v>215844.337152</v>
      </c>
    </row>
    <row r="11" customFormat="false" ht="15" hidden="false" customHeight="false" outlineLevel="0" collapsed="false">
      <c r="B11" s="7" t="s">
        <v>63</v>
      </c>
      <c r="C11" s="8" t="n">
        <v>0</v>
      </c>
      <c r="D11" s="7" t="s">
        <v>64</v>
      </c>
    </row>
    <row r="12" customFormat="false" ht="15" hidden="false" customHeight="false" outlineLevel="0" collapsed="false">
      <c r="F12" s="7" t="s">
        <v>65</v>
      </c>
      <c r="G12" s="14" t="n">
        <f aca="false">C42</f>
        <v>0.025344</v>
      </c>
    </row>
    <row r="13" customFormat="false" ht="15" hidden="false" customHeight="false" outlineLevel="0" collapsed="false">
      <c r="B13" s="5" t="s">
        <v>66</v>
      </c>
      <c r="C13" s="5"/>
      <c r="D13" s="5"/>
      <c r="F13" s="7" t="s">
        <v>67</v>
      </c>
      <c r="G13" s="15" t="n">
        <f aca="false">C29</f>
        <v>0.018432</v>
      </c>
    </row>
    <row r="14" customFormat="false" ht="23.85" hidden="false" customHeight="false" outlineLevel="0" collapsed="false">
      <c r="B14" s="7" t="s">
        <v>68</v>
      </c>
      <c r="C14" s="8" t="s">
        <v>69</v>
      </c>
      <c r="D14" s="7" t="s">
        <v>70</v>
      </c>
      <c r="F14" s="7" t="s">
        <v>71</v>
      </c>
      <c r="G14" s="15" t="n">
        <f aca="false">C38</f>
        <v>0.006912</v>
      </c>
    </row>
    <row r="15" customFormat="false" ht="23.85" hidden="false" customHeight="false" outlineLevel="0" collapsed="false">
      <c r="B15" s="7" t="s">
        <v>72</v>
      </c>
      <c r="C15" s="8" t="s">
        <v>73</v>
      </c>
      <c r="D15" s="7" t="s">
        <v>74</v>
      </c>
      <c r="F15" s="7" t="s">
        <v>75</v>
      </c>
      <c r="G15" s="16" t="n">
        <f aca="false">C34</f>
        <v>15</v>
      </c>
    </row>
    <row r="16" customFormat="false" ht="23.85" hidden="false" customHeight="false" outlineLevel="0" collapsed="false">
      <c r="B16" s="7" t="s">
        <v>76</v>
      </c>
      <c r="C16" s="8" t="s">
        <v>77</v>
      </c>
      <c r="D16" s="7" t="s">
        <v>78</v>
      </c>
    </row>
    <row r="17" customFormat="false" ht="15" hidden="false" customHeight="false" outlineLevel="0" collapsed="false">
      <c r="B17" s="7" t="s">
        <v>79</v>
      </c>
      <c r="C17" s="8" t="n">
        <v>0</v>
      </c>
      <c r="D17" s="7" t="s">
        <v>80</v>
      </c>
      <c r="F17" s="17" t="s">
        <v>81</v>
      </c>
      <c r="G17" s="17"/>
      <c r="H17" s="17"/>
    </row>
    <row r="18" customFormat="false" ht="15" hidden="false" customHeight="false" outlineLevel="0" collapsed="false">
      <c r="B18" s="7" t="s">
        <v>82</v>
      </c>
      <c r="C18" s="8" t="n">
        <v>0</v>
      </c>
      <c r="D18" s="7" t="s">
        <v>83</v>
      </c>
    </row>
    <row r="19" customFormat="false" ht="23.85" hidden="false" customHeight="false" outlineLevel="0" collapsed="false">
      <c r="B19" s="7" t="s">
        <v>84</v>
      </c>
      <c r="C19" s="18" t="n">
        <v>600</v>
      </c>
      <c r="D19" s="7" t="s">
        <v>80</v>
      </c>
    </row>
    <row r="21" customFormat="false" ht="15" hidden="false" customHeight="false" outlineLevel="0" collapsed="false">
      <c r="B21" s="5" t="s">
        <v>85</v>
      </c>
      <c r="C21" s="5"/>
      <c r="D21" s="5"/>
    </row>
    <row r="22" customFormat="false" ht="15" hidden="false" customHeight="false" outlineLevel="0" collapsed="false">
      <c r="B22" s="7" t="s">
        <v>86</v>
      </c>
      <c r="C22" s="8" t="n">
        <v>20</v>
      </c>
      <c r="D22" s="7" t="s">
        <v>87</v>
      </c>
    </row>
    <row r="23" customFormat="false" ht="15" hidden="false" customHeight="false" outlineLevel="0" collapsed="false">
      <c r="B23" s="7" t="s">
        <v>88</v>
      </c>
      <c r="C23" s="18" t="n">
        <v>16</v>
      </c>
      <c r="D23" s="7" t="s">
        <v>89</v>
      </c>
    </row>
    <row r="24" customFormat="false" ht="15" hidden="false" customHeight="false" outlineLevel="0" collapsed="false">
      <c r="B24" s="7" t="s">
        <v>90</v>
      </c>
      <c r="C24" s="8" t="n">
        <v>15</v>
      </c>
      <c r="D24" s="7" t="s">
        <v>91</v>
      </c>
    </row>
    <row r="25" customFormat="false" ht="15" hidden="false" customHeight="false" outlineLevel="0" collapsed="false">
      <c r="B25" s="7" t="s">
        <v>92</v>
      </c>
      <c r="C25" s="18" t="n">
        <v>2</v>
      </c>
      <c r="D25" s="7" t="s">
        <v>93</v>
      </c>
    </row>
    <row r="26" customFormat="false" ht="15" hidden="false" customHeight="false" outlineLevel="0" collapsed="false">
      <c r="B26" s="7" t="s">
        <v>94</v>
      </c>
      <c r="C26" s="19" t="n">
        <f aca="false">C5*C8</f>
        <v>5</v>
      </c>
      <c r="D26" s="7" t="s">
        <v>95</v>
      </c>
    </row>
    <row r="27" customFormat="false" ht="15" hidden="false" customHeight="false" outlineLevel="0" collapsed="false">
      <c r="B27" s="7" t="s">
        <v>96</v>
      </c>
      <c r="C27" s="19" t="n">
        <f aca="false">C26*C22*C23</f>
        <v>1600</v>
      </c>
      <c r="D27" s="7" t="s">
        <v>97</v>
      </c>
    </row>
    <row r="28" customFormat="false" ht="15" hidden="false" customHeight="false" outlineLevel="0" collapsed="false">
      <c r="B28" s="7" t="s">
        <v>98</v>
      </c>
      <c r="C28" s="20" t="n">
        <f aca="false">C27/C24</f>
        <v>106.666666666667</v>
      </c>
      <c r="D28" s="7" t="s">
        <v>99</v>
      </c>
    </row>
    <row r="29" customFormat="false" ht="15" hidden="false" customHeight="false" outlineLevel="0" collapsed="false">
      <c r="B29" s="7" t="s">
        <v>100</v>
      </c>
      <c r="C29" s="21" t="n">
        <f aca="false">C28*C25*86400/1000000000</f>
        <v>0.018432</v>
      </c>
      <c r="D29" s="7" t="s">
        <v>101</v>
      </c>
    </row>
    <row r="31" customFormat="false" ht="15" hidden="false" customHeight="false" outlineLevel="0" collapsed="false">
      <c r="B31" s="5" t="s">
        <v>102</v>
      </c>
      <c r="C31" s="5"/>
      <c r="D31" s="5"/>
    </row>
    <row r="32" customFormat="false" ht="15" hidden="false" customHeight="false" outlineLevel="0" collapsed="false">
      <c r="B32" s="7" t="s">
        <v>103</v>
      </c>
      <c r="C32" s="8" t="n">
        <v>10</v>
      </c>
      <c r="D32" s="7" t="s">
        <v>104</v>
      </c>
    </row>
    <row r="33" customFormat="false" ht="15" hidden="false" customHeight="false" outlineLevel="0" collapsed="false">
      <c r="B33" s="7" t="s">
        <v>88</v>
      </c>
      <c r="C33" s="8" t="n">
        <v>12</v>
      </c>
      <c r="D33" s="7" t="s">
        <v>89</v>
      </c>
    </row>
    <row r="34" customFormat="false" ht="15" hidden="false" customHeight="false" outlineLevel="0" collapsed="false">
      <c r="B34" s="7" t="s">
        <v>105</v>
      </c>
      <c r="C34" s="8" t="n">
        <v>15</v>
      </c>
      <c r="D34" s="7" t="s">
        <v>91</v>
      </c>
    </row>
    <row r="35" customFormat="false" ht="23.85" hidden="false" customHeight="false" outlineLevel="0" collapsed="false">
      <c r="B35" s="7" t="s">
        <v>106</v>
      </c>
      <c r="C35" s="18" t="n">
        <v>1</v>
      </c>
      <c r="D35" s="7" t="s">
        <v>107</v>
      </c>
    </row>
    <row r="36" customFormat="false" ht="15" hidden="false" customHeight="false" outlineLevel="0" collapsed="false">
      <c r="B36" s="7" t="s">
        <v>108</v>
      </c>
      <c r="C36" s="19" t="n">
        <f aca="false">C26*C32*C33*C35</f>
        <v>600</v>
      </c>
      <c r="D36" s="7" t="s">
        <v>97</v>
      </c>
    </row>
    <row r="37" customFormat="false" ht="15" hidden="false" customHeight="false" outlineLevel="0" collapsed="false">
      <c r="B37" s="7" t="s">
        <v>109</v>
      </c>
      <c r="C37" s="20" t="n">
        <f aca="false">C36/C34</f>
        <v>40</v>
      </c>
      <c r="D37" s="7" t="s">
        <v>99</v>
      </c>
    </row>
    <row r="38" customFormat="false" ht="15" hidden="false" customHeight="false" outlineLevel="0" collapsed="false">
      <c r="B38" s="7" t="s">
        <v>100</v>
      </c>
      <c r="C38" s="21" t="n">
        <f aca="false">C37*C25*86400/1000000000</f>
        <v>0.006912</v>
      </c>
      <c r="D38" s="7" t="s">
        <v>101</v>
      </c>
    </row>
    <row r="39" customFormat="false" ht="15" hidden="false" customHeight="false" outlineLevel="0" collapsed="false">
      <c r="B39" s="7" t="s">
        <v>110</v>
      </c>
      <c r="C39" s="22" t="n">
        <f aca="false">86400/C34</f>
        <v>5760</v>
      </c>
      <c r="D39" s="7" t="s">
        <v>111</v>
      </c>
    </row>
    <row r="41" customFormat="false" ht="15" hidden="false" customHeight="false" outlineLevel="0" collapsed="false">
      <c r="B41" s="5" t="s">
        <v>112</v>
      </c>
      <c r="C41" s="5"/>
      <c r="D41" s="5"/>
    </row>
    <row r="42" customFormat="false" ht="15" hidden="false" customHeight="false" outlineLevel="0" collapsed="false">
      <c r="B42" s="7" t="s">
        <v>113</v>
      </c>
      <c r="C42" s="23" t="n">
        <f aca="false">C29+C38</f>
        <v>0.025344</v>
      </c>
      <c r="D42" s="7" t="s">
        <v>101</v>
      </c>
    </row>
    <row r="43" customFormat="false" ht="15" hidden="false" customHeight="false" outlineLevel="0" collapsed="false">
      <c r="B43" s="7" t="s">
        <v>114</v>
      </c>
      <c r="C43" s="19" t="n">
        <f aca="false">C42*30</f>
        <v>0.76032</v>
      </c>
      <c r="D43" s="7" t="s">
        <v>115</v>
      </c>
    </row>
    <row r="44" customFormat="false" ht="15" hidden="false" customHeight="false" outlineLevel="0" collapsed="false">
      <c r="B44" s="7" t="s">
        <v>116</v>
      </c>
      <c r="C44" s="8" t="n">
        <v>0</v>
      </c>
      <c r="D44" s="7" t="s">
        <v>117</v>
      </c>
    </row>
    <row r="45" customFormat="false" ht="15" hidden="false" customHeight="false" outlineLevel="0" collapsed="false">
      <c r="B45" s="7" t="s">
        <v>118</v>
      </c>
      <c r="C45" s="8" t="n">
        <v>0.03</v>
      </c>
      <c r="D45" s="7" t="s">
        <v>119</v>
      </c>
    </row>
    <row r="46" customFormat="false" ht="15" hidden="false" customHeight="false" outlineLevel="0" collapsed="false">
      <c r="B46" s="7" t="s">
        <v>120</v>
      </c>
      <c r="C46" s="8" t="n">
        <v>30</v>
      </c>
      <c r="D46" s="7" t="s">
        <v>121</v>
      </c>
    </row>
    <row r="47" customFormat="false" ht="15" hidden="false" customHeight="false" outlineLevel="0" collapsed="false">
      <c r="B47" s="7" t="s">
        <v>122</v>
      </c>
      <c r="C47" s="8" t="n">
        <v>0</v>
      </c>
      <c r="D47" s="7" t="s">
        <v>101</v>
      </c>
    </row>
    <row r="48" customFormat="false" ht="15" hidden="false" customHeight="false" outlineLevel="0" collapsed="false">
      <c r="B48" s="7" t="s">
        <v>123</v>
      </c>
      <c r="C48" s="8" t="n">
        <v>0</v>
      </c>
      <c r="D48" s="7" t="s">
        <v>124</v>
      </c>
    </row>
    <row r="50" customFormat="false" ht="15" hidden="false" customHeight="false" outlineLevel="0" collapsed="false">
      <c r="B50" s="5" t="s">
        <v>125</v>
      </c>
      <c r="C50" s="5"/>
      <c r="D50" s="5"/>
    </row>
    <row r="51" customFormat="false" ht="15" hidden="false" customHeight="false" outlineLevel="0" collapsed="false">
      <c r="B51" s="7" t="s">
        <v>126</v>
      </c>
      <c r="C51" s="8" t="n">
        <v>24</v>
      </c>
      <c r="D51" s="7" t="s">
        <v>127</v>
      </c>
    </row>
    <row r="52" customFormat="false" ht="15" hidden="false" customHeight="false" outlineLevel="0" collapsed="false">
      <c r="B52" s="7" t="s">
        <v>128</v>
      </c>
      <c r="C52" s="22" t="n">
        <f aca="false">C9</f>
        <v>40</v>
      </c>
      <c r="D52" s="7" t="s">
        <v>129</v>
      </c>
    </row>
    <row r="53" customFormat="false" ht="15" hidden="false" customHeight="false" outlineLevel="0" collapsed="false">
      <c r="B53" s="7" t="s">
        <v>130</v>
      </c>
      <c r="C53" s="8" t="n">
        <v>800</v>
      </c>
      <c r="D53" s="7" t="s">
        <v>131</v>
      </c>
    </row>
    <row r="54" customFormat="false" ht="15" hidden="false" customHeight="false" outlineLevel="0" collapsed="false">
      <c r="B54" s="7" t="s">
        <v>132</v>
      </c>
      <c r="C54" s="8" t="n">
        <v>200</v>
      </c>
      <c r="D54" s="7" t="s">
        <v>131</v>
      </c>
    </row>
    <row r="55" customFormat="false" ht="15" hidden="false" customHeight="false" outlineLevel="0" collapsed="false">
      <c r="B55" s="7" t="s">
        <v>133</v>
      </c>
      <c r="C55" s="8" t="s">
        <v>134</v>
      </c>
      <c r="D55" s="7" t="s">
        <v>135</v>
      </c>
    </row>
    <row r="56" customFormat="false" ht="23.85" hidden="false" customHeight="false" outlineLevel="0" collapsed="false">
      <c r="B56" s="7" t="s">
        <v>136</v>
      </c>
      <c r="C56" s="8" t="s">
        <v>137</v>
      </c>
      <c r="D56" s="7" t="s">
        <v>138</v>
      </c>
    </row>
    <row r="58" customFormat="false" ht="15" hidden="false" customHeight="false" outlineLevel="0" collapsed="false">
      <c r="B58" s="5" t="s">
        <v>139</v>
      </c>
      <c r="C58" s="5"/>
      <c r="D58" s="5"/>
    </row>
    <row r="59" customFormat="false" ht="15" hidden="false" customHeight="false" outlineLevel="0" collapsed="false">
      <c r="B59" s="6" t="s">
        <v>133</v>
      </c>
      <c r="C59" s="6" t="s">
        <v>140</v>
      </c>
      <c r="D59" s="6" t="s">
        <v>141</v>
      </c>
      <c r="E59" s="6" t="s">
        <v>142</v>
      </c>
      <c r="F59" s="6" t="s">
        <v>143</v>
      </c>
    </row>
    <row r="60" customFormat="false" ht="15" hidden="false" customHeight="false" outlineLevel="0" collapsed="false">
      <c r="B60" s="24" t="s">
        <v>144</v>
      </c>
      <c r="C60" s="25" t="n">
        <v>1</v>
      </c>
      <c r="D60" s="25" t="n">
        <v>5</v>
      </c>
      <c r="E60" s="25" t="n">
        <v>0.5</v>
      </c>
      <c r="F60" s="25" t="n">
        <v>2.5</v>
      </c>
    </row>
    <row r="61" customFormat="false" ht="15" hidden="false" customHeight="false" outlineLevel="0" collapsed="false">
      <c r="B61" s="24" t="s">
        <v>134</v>
      </c>
      <c r="C61" s="25" t="n">
        <v>2</v>
      </c>
      <c r="D61" s="25" t="n">
        <v>10</v>
      </c>
      <c r="E61" s="25" t="n">
        <v>1</v>
      </c>
      <c r="F61" s="25" t="n">
        <v>5</v>
      </c>
    </row>
    <row r="62" customFormat="false" ht="15" hidden="false" customHeight="false" outlineLevel="0" collapsed="false">
      <c r="B62" s="24" t="s">
        <v>145</v>
      </c>
      <c r="C62" s="25" t="n">
        <v>5</v>
      </c>
      <c r="D62" s="25" t="n">
        <v>25</v>
      </c>
      <c r="E62" s="25" t="n">
        <v>2.5</v>
      </c>
      <c r="F62" s="25" t="n">
        <v>12.5</v>
      </c>
    </row>
    <row r="64" customFormat="false" ht="15" hidden="false" customHeight="false" outlineLevel="0" collapsed="false">
      <c r="B64" s="5" t="s">
        <v>146</v>
      </c>
      <c r="C64" s="5"/>
      <c r="D64" s="5"/>
    </row>
    <row r="65" customFormat="false" ht="15" hidden="false" customHeight="false" outlineLevel="0" collapsed="false">
      <c r="B65" s="7" t="s">
        <v>147</v>
      </c>
      <c r="C65" s="26" t="n">
        <f aca="false">C5*C7*C10*730</f>
        <v>1095</v>
      </c>
      <c r="D65" s="7" t="s">
        <v>148</v>
      </c>
    </row>
    <row r="66" customFormat="false" ht="15" hidden="false" customHeight="false" outlineLevel="0" collapsed="false">
      <c r="B66" s="7" t="s">
        <v>149</v>
      </c>
      <c r="C66" s="26" t="n">
        <f aca="false">C5*C11*730</f>
        <v>0</v>
      </c>
      <c r="D66" s="7" t="s">
        <v>148</v>
      </c>
    </row>
    <row r="67" customFormat="false" ht="15" hidden="false" customHeight="false" outlineLevel="0" collapsed="false">
      <c r="B67" s="7" t="s">
        <v>150</v>
      </c>
      <c r="C67" s="26" t="n">
        <f aca="false">C17</f>
        <v>0</v>
      </c>
      <c r="D67" s="7" t="s">
        <v>148</v>
      </c>
    </row>
    <row r="68" customFormat="false" ht="15" hidden="false" customHeight="false" outlineLevel="0" collapsed="false">
      <c r="B68" s="7" t="s">
        <v>82</v>
      </c>
      <c r="C68" s="26" t="n">
        <f aca="false">C5*C7*C18</f>
        <v>0</v>
      </c>
      <c r="D68" s="7" t="s">
        <v>148</v>
      </c>
    </row>
    <row r="69" customFormat="false" ht="15" hidden="false" customHeight="false" outlineLevel="0" collapsed="false">
      <c r="B69" s="7" t="s">
        <v>151</v>
      </c>
      <c r="C69" s="26" t="n">
        <f aca="false">C19</f>
        <v>600</v>
      </c>
      <c r="D69" s="7" t="s">
        <v>148</v>
      </c>
    </row>
    <row r="71" customFormat="false" ht="15" hidden="false" customHeight="false" outlineLevel="0" collapsed="false">
      <c r="B71" s="27" t="s">
        <v>152</v>
      </c>
      <c r="C71" s="28" t="n">
        <f aca="false">C65+C66+C67+C68+C69</f>
        <v>1695</v>
      </c>
      <c r="D71" s="7" t="s">
        <v>148</v>
      </c>
    </row>
    <row r="73" customFormat="false" ht="15" hidden="false" customHeight="false" outlineLevel="0" collapsed="false">
      <c r="B73" s="5" t="s">
        <v>153</v>
      </c>
      <c r="C73" s="5"/>
      <c r="D73" s="5"/>
    </row>
    <row r="74" customFormat="false" ht="15" hidden="false" customHeight="false" outlineLevel="0" collapsed="false">
      <c r="B74" s="7" t="s">
        <v>154</v>
      </c>
      <c r="C74" s="26" t="n">
        <f aca="false">C43*C44</f>
        <v>0</v>
      </c>
      <c r="D74" s="7" t="s">
        <v>148</v>
      </c>
    </row>
    <row r="75" customFormat="false" ht="15" hidden="false" customHeight="false" outlineLevel="0" collapsed="false">
      <c r="B75" s="7" t="s">
        <v>155</v>
      </c>
      <c r="C75" s="26" t="n">
        <f aca="false">C42*C46*C45</f>
        <v>0.0228096</v>
      </c>
      <c r="D75" s="7" t="s">
        <v>148</v>
      </c>
    </row>
    <row r="76" customFormat="false" ht="15" hidden="false" customHeight="false" outlineLevel="0" collapsed="false">
      <c r="B76" s="7" t="s">
        <v>156</v>
      </c>
      <c r="C76" s="26" t="n">
        <f aca="false">C47*30*C48</f>
        <v>0</v>
      </c>
      <c r="D76" s="7" t="s">
        <v>148</v>
      </c>
    </row>
    <row r="78" customFormat="false" ht="15" hidden="false" customHeight="false" outlineLevel="0" collapsed="false">
      <c r="B78" s="27" t="s">
        <v>157</v>
      </c>
      <c r="C78" s="28" t="n">
        <f aca="false">C74+C75+C76</f>
        <v>0.0228096</v>
      </c>
      <c r="D78" s="7" t="s">
        <v>148</v>
      </c>
    </row>
    <row r="80" customFormat="false" ht="15" hidden="false" customHeight="false" outlineLevel="0" collapsed="false">
      <c r="B80" s="5" t="s">
        <v>158</v>
      </c>
      <c r="C80" s="5"/>
      <c r="D80" s="5"/>
    </row>
    <row r="81" customFormat="false" ht="15" hidden="false" customHeight="false" outlineLevel="0" collapsed="false">
      <c r="B81" s="7" t="s">
        <v>159</v>
      </c>
      <c r="C81" s="19" t="n">
        <f aca="false">C51*C52</f>
        <v>960</v>
      </c>
      <c r="D81" s="7" t="s">
        <v>160</v>
      </c>
    </row>
    <row r="82" customFormat="false" ht="15" hidden="false" customHeight="false" outlineLevel="0" collapsed="false">
      <c r="B82" s="7" t="s">
        <v>161</v>
      </c>
      <c r="C82" s="19" t="n">
        <f aca="false">C81*30</f>
        <v>28800</v>
      </c>
      <c r="D82" s="7" t="s">
        <v>162</v>
      </c>
    </row>
    <row r="83" customFormat="false" ht="15" hidden="false" customHeight="false" outlineLevel="0" collapsed="false">
      <c r="B83" s="7" t="s">
        <v>163</v>
      </c>
      <c r="C83" s="19" t="n">
        <f aca="false">C82*C53</f>
        <v>23040000</v>
      </c>
      <c r="D83" s="7" t="s">
        <v>164</v>
      </c>
    </row>
    <row r="84" customFormat="false" ht="15" hidden="false" customHeight="false" outlineLevel="0" collapsed="false">
      <c r="B84" s="7" t="s">
        <v>165</v>
      </c>
      <c r="C84" s="19" t="n">
        <f aca="false">C82*C54</f>
        <v>5760000</v>
      </c>
      <c r="D84" s="7" t="s">
        <v>164</v>
      </c>
    </row>
    <row r="85" customFormat="false" ht="15" hidden="false" customHeight="false" outlineLevel="0" collapsed="false">
      <c r="B85" s="7" t="s">
        <v>166</v>
      </c>
      <c r="C85" s="29" t="n">
        <f aca="false">IF(C56="Y",INDEX(E60:E62,MATCH(C55,B60:B62,0)),INDEX(C60:C62,MATCH(C55,B60:B62,0)))</f>
        <v>2</v>
      </c>
      <c r="D85" s="7" t="s">
        <v>167</v>
      </c>
    </row>
    <row r="86" customFormat="false" ht="15" hidden="false" customHeight="false" outlineLevel="0" collapsed="false">
      <c r="B86" s="7" t="s">
        <v>168</v>
      </c>
      <c r="C86" s="29" t="n">
        <f aca="false">IF(C56="Y",INDEX(F60:F62,MATCH(C55,B60:B62,0)),INDEX(D60:D62,MATCH(C55,B60:B62,0)))</f>
        <v>10</v>
      </c>
      <c r="D86" s="7" t="s">
        <v>167</v>
      </c>
    </row>
    <row r="87" customFormat="false" ht="15" hidden="false" customHeight="false" outlineLevel="0" collapsed="false">
      <c r="B87" s="7" t="s">
        <v>169</v>
      </c>
      <c r="C87" s="26" t="n">
        <f aca="false">(C83/1000000)*C85</f>
        <v>46.08</v>
      </c>
      <c r="D87" s="7" t="s">
        <v>148</v>
      </c>
    </row>
    <row r="88" customFormat="false" ht="15" hidden="false" customHeight="false" outlineLevel="0" collapsed="false">
      <c r="B88" s="7" t="s">
        <v>170</v>
      </c>
      <c r="C88" s="26" t="n">
        <f aca="false">(C84/1000000)*C86</f>
        <v>57.6</v>
      </c>
      <c r="D88" s="7" t="s">
        <v>148</v>
      </c>
    </row>
    <row r="90" customFormat="false" ht="15" hidden="false" customHeight="false" outlineLevel="0" collapsed="false">
      <c r="B90" s="27" t="s">
        <v>171</v>
      </c>
      <c r="C90" s="28" t="n">
        <f aca="false">C87+C88</f>
        <v>103.68</v>
      </c>
      <c r="D90" s="7" t="s">
        <v>148</v>
      </c>
    </row>
    <row r="92" customFormat="false" ht="15" hidden="false" customHeight="false" outlineLevel="0" collapsed="false">
      <c r="B92" s="5" t="s">
        <v>172</v>
      </c>
      <c r="C92" s="5"/>
      <c r="D92" s="5"/>
    </row>
    <row r="93" customFormat="false" ht="15" hidden="false" customHeight="false" outlineLevel="0" collapsed="false">
      <c r="B93" s="7" t="s">
        <v>173</v>
      </c>
      <c r="C93" s="30" t="n">
        <f aca="false">C71+C78+C90</f>
        <v>1798.7028096</v>
      </c>
      <c r="D93" s="7" t="s">
        <v>148</v>
      </c>
    </row>
    <row r="94" customFormat="false" ht="15" hidden="false" customHeight="false" outlineLevel="0" collapsed="false">
      <c r="B94" s="7" t="s">
        <v>174</v>
      </c>
      <c r="C94" s="30" t="n">
        <f aca="false">C93*12</f>
        <v>21584.4337152</v>
      </c>
      <c r="D94" s="7" t="s">
        <v>175</v>
      </c>
    </row>
    <row r="95" customFormat="false" ht="15" hidden="false" customHeight="false" outlineLevel="0" collapsed="false">
      <c r="B95" s="7" t="s">
        <v>176</v>
      </c>
      <c r="C95" s="13" t="n">
        <f aca="false">C93*C6/C5</f>
        <v>17987.028096</v>
      </c>
      <c r="D95" s="7" t="s">
        <v>148</v>
      </c>
    </row>
    <row r="96" customFormat="false" ht="15" hidden="false" customHeight="false" outlineLevel="0" collapsed="false">
      <c r="B96" s="7" t="s">
        <v>177</v>
      </c>
      <c r="C96" s="29" t="n">
        <f aca="false">(C71+C78)/C9</f>
        <v>42.37557024</v>
      </c>
      <c r="D96" s="7" t="s">
        <v>178</v>
      </c>
    </row>
    <row r="97" customFormat="false" ht="15" hidden="false" customHeight="false" outlineLevel="0" collapsed="false">
      <c r="B97" s="7" t="s">
        <v>179</v>
      </c>
      <c r="C97" s="29" t="n">
        <f aca="false">C90/(C51*30)</f>
        <v>0.144</v>
      </c>
      <c r="D97" s="7" t="s">
        <v>180</v>
      </c>
    </row>
  </sheetData>
  <mergeCells count="14">
    <mergeCell ref="B1:D1"/>
    <mergeCell ref="F1:H1"/>
    <mergeCell ref="B3:D3"/>
    <mergeCell ref="B13:D13"/>
    <mergeCell ref="F17:H17"/>
    <mergeCell ref="B21:D21"/>
    <mergeCell ref="B31:D31"/>
    <mergeCell ref="B41:D41"/>
    <mergeCell ref="B50:D50"/>
    <mergeCell ref="B58:D58"/>
    <mergeCell ref="B64:D64"/>
    <mergeCell ref="B73:D73"/>
    <mergeCell ref="B80:D80"/>
    <mergeCell ref="B92:D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2026-09-10T20:11:51Z</dcterms:created>
  <dc:creator>openpyxl</dc:creator>
  <dc:description/>
  <dc:language>en-US</dc:language>
  <cp:lastModifiedBy/>
  <dcterms:modified xsi:type="dcterms:W3CDTF">2026-09-10T20:11:56Z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