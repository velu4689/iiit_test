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ost Mode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<sst xmlns="http://schemas.openxmlformats.org/spreadsheetml/2006/main" count="212" uniqueCount="180">
  <si>
    <t xml:space="preserve">K8s Network Path Mapping — Cost Model</t>
  </si>
  <si>
    <t xml:space="preserve">WHAT CHANGED IN THIS VERSION</t>
  </si>
  <si>
    <t xml:space="preserve">  - Fixed the ungrounded $600/month 'topology graph engine compute' placeholder. It is now a formula:</t>
  </si>
  <si>
    <t xml:space="preserve">    (K8s node compute cost) x (graph-engine overhead %), where the % is an editable input you set once you</t>
  </si>
  <si>
    <t xml:space="preserve">    know real sizing. There was no real derivation behind the old $600 figure — see Section 2 on the</t>
  </si>
  <si>
    <t xml:space="preserve">    Cost Model tab for the corrected line and an honest note about what it still doesn't account for.</t>
  </si>
  <si>
    <t xml:space="preserve">  - All assumption notes are now VISIBLE in column E (not hidden in hover-only cell comments).</t>
  </si>
  <si>
    <t xml:space="preserve">  - Row heights are sized to fit their content so nothing is visually clipped or cramped.</t>
  </si>
  <si>
    <t xml:space="preserve">  - Claude token section is intentionally kept simple/rough per your instruction — see Section 6.</t>
  </si>
  <si>
    <t xml:space="preserve">HOW TO USE</t>
  </si>
  <si>
    <t xml:space="preserve">  1. Edit yellow cells on 'Cost Model'. Orange cells are flagged assumptions — read column E before trusting them.</t>
  </si>
  <si>
    <t xml:space="preserve">  2. Everything recalculates automatically (black formula cells — don't edit).</t>
  </si>
  <si>
    <t xml:space="preserve">  3. The Live Summary panel (columns G-I, frozen) stays visible while you scroll down to edit inputs.</t>
  </si>
  <si>
    <t xml:space="preserve">COLOR KEY</t>
  </si>
  <si>
    <t xml:space="preserve">  Yellow fill  = standard input, edit freely</t>
  </si>
  <si>
    <t xml:space="preserve">  Orange fill  = flagged/uncertain assumption — read the note in column E before trusting it</t>
  </si>
  <si>
    <t xml:space="preserve">  Black text   = formula, don't edit</t>
  </si>
  <si>
    <t xml:space="preserve">  Peach/italic = reference or extrapolated figure, not part of the core total</t>
  </si>
  <si>
    <t xml:space="preserve">INPUTS &amp; CALCULATIONS — yellow = edit, orange = flagged assumption (read column E)</t>
  </si>
  <si>
    <t xml:space="preserve">LIVE SUMMARY</t>
  </si>
  <si>
    <t xml:space="preserve">1. ENVIRONMENT SCALE (on-prem)</t>
  </si>
  <si>
    <t xml:space="preserve">Cost bucket</t>
  </si>
  <si>
    <t xml:space="preserve">Monthly $</t>
  </si>
  <si>
    <t xml:space="preserve">Annual $</t>
  </si>
  <si>
    <t xml:space="preserve">Infrastructure type</t>
  </si>
  <si>
    <t xml:space="preserve">On-Prem</t>
  </si>
  <si>
    <t xml:space="preserve">On-Prem / AWS / GCP / Azure / hybrid.</t>
  </si>
  <si>
    <t xml:space="preserve">Infrastructure</t>
  </si>
  <si>
    <t xml:space="preserve">Clusters included in THIS estimate</t>
  </si>
  <si>
    <t xml:space="preserve">clusters</t>
  </si>
  <si>
    <t xml:space="preserve">You have 10 clusters total. This model is scoped to 1 cluster for now — see the extrapolation row in the Live Summary for a naive x10 reference total.</t>
  </si>
  <si>
    <t xml:space="preserve">Data throughput (Mimir)</t>
  </si>
  <si>
    <t xml:space="preserve">Total clusters in full environment (reference only)</t>
  </si>
  <si>
    <t xml:space="preserve">Used only for the extrapolated 'full environment' row — does not affect the core totals above it.</t>
  </si>
  <si>
    <t xml:space="preserve">Claude token usage</t>
  </si>
  <si>
    <t xml:space="preserve">Nodes per cluster</t>
  </si>
  <si>
    <t xml:space="preserve">nodes/cluster</t>
  </si>
  <si>
    <t xml:space="preserve">Services per cluster</t>
  </si>
  <si>
    <t xml:space="preserve">services/cluster</t>
  </si>
  <si>
    <t xml:space="preserve">TOTAL (this cluster)</t>
  </si>
  <si>
    <t xml:space="preserve">Pods per cluster</t>
  </si>
  <si>
    <t xml:space="preserve">pods/cluster</t>
  </si>
  <si>
    <t xml:space="preserve">On-prem cost per node (amortized)</t>
  </si>
  <si>
    <t xml:space="preserve">$/hour equiv.</t>
  </si>
  <si>
    <t xml:space="preserve">FLAGGED: placeholder = (server purchase price / useful-life hours) + power + colo + pro-rated ops overhead. Replace with your real TCO-per-node — this is usually the single biggest lever in an on-prem estimate.</t>
  </si>
  <si>
    <t xml:space="preserve">Extrapolated, full env. (x10, naive)</t>
  </si>
  <si>
    <t xml:space="preserve">Self-managed control-plane / distro license fee</t>
  </si>
  <si>
    <t xml:space="preserve">$/hour/cluster</t>
  </si>
  <si>
    <t xml:space="preserve">0 for vanilla kubeadm. Enter a per-cluster fee if using a licensed distro (OpenShift, Rancher, Tanzu).</t>
  </si>
  <si>
    <t xml:space="preserve">Total Mimir ingestion volume</t>
  </si>
  <si>
    <t xml:space="preserve">2. TOOLING — eBPF-based observability &amp; network mapping</t>
  </si>
  <si>
    <t xml:space="preserve">Topology refresh interval</t>
  </si>
  <si>
    <t xml:space="preserve">Telemetry pipeline</t>
  </si>
  <si>
    <t xml:space="preserve">Prometheus -&gt; Mimir (centralized)</t>
  </si>
  <si>
    <t xml:space="preserve">Per-cluster Prometheus remote-writes to a centralized Grafana Mimir store.</t>
  </si>
  <si>
    <t xml:space="preserve">Claude tokens/month (in+out)</t>
  </si>
  <si>
    <t xml:space="preserve">General service telemetry tool</t>
  </si>
  <si>
    <t xml:space="preserve">Beyla (Grafana)</t>
  </si>
  <si>
    <t xml:space="preserve">eBPF auto-instrumentation — produces RED-style (rate/errors/duration) metrics per service.</t>
  </si>
  <si>
    <t xml:space="preserve">Network path mapping tool</t>
  </si>
  <si>
    <t xml:space="preserve">Caretta (open-source eBPF)</t>
  </si>
  <si>
    <t xml:space="preserve">Hooks socket connections to aggregate service-to-service communication — this is what actually builds the topology/path data.</t>
  </si>
  <si>
    <t xml:space="preserve">Reminder: directional model — read orange cells in column E before trusting the total.</t>
  </si>
  <si>
    <t xml:space="preserve">Flat monthly license — Beyla/Caretta + add-ons</t>
  </si>
  <si>
    <t xml:space="preserve">$/month</t>
  </si>
  <si>
    <t xml:space="preserve">Both tools are open-source; 0 assumes no commercial support contract. Enter a real figure if you have one.</t>
  </si>
  <si>
    <t xml:space="preserve">Per-host agent cost</t>
  </si>
  <si>
    <t xml:space="preserve">$/host/month</t>
  </si>
  <si>
    <t xml:space="preserve">Open-source eBPF agents run for free — leave at 0 unless you're paying a per-host fee for a managed variant.</t>
  </si>
  <si>
    <t xml:space="preserve">Graph-engine compute overhead</t>
  </si>
  <si>
    <t xml:space="preserve">% of node compute</t>
  </si>
  <si>
    <t xml:space="preserve">FIXED FROM $600 FLAT GUESS: that number had no real derivation behind it — it was an unfounded placeholder, not something I calculated. This now instead adds a % on top of your actual K8s node compute cost (Section 8), so it scales sensibly as your cluster size or node cost changes. 10% is still a guess, not a sizing exercise — it does NOT specifically account for running eBPF agents + the Caretta graph-builder + Mimir queries at a 15-second refresh interval. If you can tell me the actual CPU/memory footprint of that pipeline (or how many dedicated cores/pods it needs), I can replace this % with a real number instead of an overhead guess.</t>
  </si>
  <si>
    <t xml:space="preserve">3. DATA VOLUME — General service telemetry (Beyla)</t>
  </si>
  <si>
    <t xml:space="preserve">Metrics per service</t>
  </si>
  <si>
    <t xml:space="preserve">metrics/service</t>
  </si>
  <si>
    <t xml:space="preserve">Label-value combinations per metric (cardinality)</t>
  </si>
  <si>
    <t xml:space="preserve">series/metric</t>
  </si>
  <si>
    <t xml:space="preserve">FLAGGED: read as series-cardinality per metric (distinct series once label values combine), not a literal label-key count. Correct me if you meant something else.</t>
  </si>
  <si>
    <t xml:space="preserve">Scrape interval</t>
  </si>
  <si>
    <t xml:space="preserve">seconds</t>
  </si>
  <si>
    <t xml:space="preserve">Bytes per sample (compressed remote-write)</t>
  </si>
  <si>
    <t xml:space="preserve">bytes/sample</t>
  </si>
  <si>
    <t xml:space="preserve">FLAGGED: typical Prometheus/Mimir remote-write compresses to ~1-4 bytes/sample (protobuf + Snappy). Shared by both telemetry streams below — validate against your ingester's observed rate if you have it.</t>
  </si>
  <si>
    <t xml:space="preserve">-&gt; Total services (clusters modeled x services/cluster)</t>
  </si>
  <si>
    <t xml:space="preserve">services</t>
  </si>
  <si>
    <t xml:space="preserve">-&gt; Active series (general)</t>
  </si>
  <si>
    <t xml:space="preserve">series</t>
  </si>
  <si>
    <t xml:space="preserve">Formula: total services x metrics/service x series/metric.</t>
  </si>
  <si>
    <t xml:space="preserve">-&gt; Ingestion rate</t>
  </si>
  <si>
    <t xml:space="preserve">samples/sec</t>
  </si>
  <si>
    <t xml:space="preserve">Formula: active series / scrape interval (seconds). This is where refresh rate enters: a shorter interval directly raises the ingestion rate.</t>
  </si>
  <si>
    <t xml:space="preserve">-&gt; Data volume</t>
  </si>
  <si>
    <t xml:space="preserve">GB/day</t>
  </si>
  <si>
    <t xml:space="preserve">Formula: samples/sec x bytes/sample x 86,400 sec/day / 1e9.</t>
  </si>
  <si>
    <t xml:space="preserve">4. DATA VOLUME — Network path mapping (Caretta)</t>
  </si>
  <si>
    <t xml:space="preserve">Metrics for mapping</t>
  </si>
  <si>
    <t xml:space="preserve">metrics</t>
  </si>
  <si>
    <t xml:space="preserve">Refresh / scrape interval</t>
  </si>
  <si>
    <t xml:space="preserve">This is the master cadence: how often Caretta metrics are scraped AND how often the topology graph recomputes.</t>
  </si>
  <si>
    <t xml:space="preserve">Edge multiplier (series-pairs per service)</t>
  </si>
  <si>
    <t xml:space="preserve">x</t>
  </si>
  <si>
    <t xml:space="preserve">FLAGGED: default assumes Caretta metrics are modeled per-service (1x). If Caretta actually emits metrics per source-destination service PAIR, raise this toward your real average fan-out per service — edge count can be much higher than service count in a dense mesh.</t>
  </si>
  <si>
    <t xml:space="preserve">-&gt; Active series (mapping)</t>
  </si>
  <si>
    <t xml:space="preserve">-&gt; Topology refreshes per day (reference)</t>
  </si>
  <si>
    <t xml:space="preserve">refreshes/day</t>
  </si>
  <si>
    <t xml:space="preserve">5. MIMIR INGESTION, STORAGE &amp; RETENTION (combined streams, single region)</t>
  </si>
  <si>
    <t xml:space="preserve">Total Mimir ingestion volume (Beyla + Caretta)</t>
  </si>
  <si>
    <t xml:space="preserve">Total Mimir ingestion volume (monthly)</t>
  </si>
  <si>
    <t xml:space="preserve">GB/month</t>
  </si>
  <si>
    <t xml:space="preserve">Mimir ingestion cost</t>
  </si>
  <si>
    <t xml:space="preserve">$/GB ingested</t>
  </si>
  <si>
    <t xml:space="preserve">0 for self-hosted Mimir (already captured in graph-engine overhead above). Set &gt;0 only for a paid managed metrics service.</t>
  </si>
  <si>
    <t xml:space="preserve">On-prem storage cost (local SSD/Ceph/object store)</t>
  </si>
  <si>
    <t xml:space="preserve">$/GB-month</t>
  </si>
  <si>
    <t xml:space="preserve">On-prem storage is typically cheaper than cloud object storage list price but has upfront capex — treat as amortized $/GB-month.</t>
  </si>
  <si>
    <t xml:space="preserve">Retention period</t>
  </si>
  <si>
    <t xml:space="preserve">days</t>
  </si>
  <si>
    <t xml:space="preserve">Cross-AZ/region egress volume</t>
  </si>
  <si>
    <t xml:space="preserve">Set to 0: single cluster, single region for now. Re-enable if you replicate to a DR site or ship data off-prem.</t>
  </si>
  <si>
    <t xml:space="preserve">Egress cost</t>
  </si>
  <si>
    <t xml:space="preserve">$/GB</t>
  </si>
  <si>
    <t xml:space="preserve">6. CLAUDE TOKEN USAGE — rough estimate (kept deliberately simple)</t>
  </si>
  <si>
    <t xml:space="preserve">Claude runs per day</t>
  </si>
  <si>
    <t xml:space="preserve">runs/day</t>
  </si>
  <si>
    <t xml:space="preserve">Rough/order-of-magnitude only, per your instruction — refine once you've prototyped a real prompt. 24 = hourly, decoupled from the 15s topology refresh to control spend.</t>
  </si>
  <si>
    <t xml:space="preserve">-&gt; Pods analyzed per run (reference)</t>
  </si>
  <si>
    <t xml:space="preserve">pods/run</t>
  </si>
  <si>
    <t xml:space="preserve">Avg input tokens per pod-path</t>
  </si>
  <si>
    <t xml:space="preserve">tokens/pod</t>
  </si>
  <si>
    <t xml:space="preserve">Rough estimate for context per pod: relevant config + a short flow/metrics excerpt + prompt overhead.</t>
  </si>
  <si>
    <t xml:space="preserve">Avg output tokens per pod-path</t>
  </si>
  <si>
    <t xml:space="preserve">Rough estimate for model output per pod: inferred edges/paths + a short explanation.</t>
  </si>
  <si>
    <t xml:space="preserve">Model</t>
  </si>
  <si>
    <t xml:space="preserve">Claude Sonnet 5</t>
  </si>
  <si>
    <t xml:space="preserve">Haiku 4.5 / Sonnet 5 / Opus 5 — see pricing table in Section 7.</t>
  </si>
  <si>
    <t xml:space="preserve">Use Batch API? (Y/N)</t>
  </si>
  <si>
    <t xml:space="preserve">N</t>
  </si>
  <si>
    <t xml:space="preserve">Y = 50% off but async — fine if summaries don't need to be instant.</t>
  </si>
  <si>
    <t xml:space="preserve">7. CLAUDE API PRICING REFERENCE (verified platform.claude.com/docs, 2026-09-10)</t>
  </si>
  <si>
    <t xml:space="preserve">Input $/MTok</t>
  </si>
  <si>
    <t xml:space="preserve">Output $/MTok</t>
  </si>
  <si>
    <t xml:space="preserve">Batch In $/MTok</t>
  </si>
  <si>
    <t xml:space="preserve">Batch Out $/MTok</t>
  </si>
  <si>
    <t xml:space="preserve">Claude Haiku 4.5</t>
  </si>
  <si>
    <t xml:space="preserve">Claude Opus 5</t>
  </si>
  <si>
    <t xml:space="preserve">8. CALCULATED COST — Infrastructure (monthly)</t>
  </si>
  <si>
    <t xml:space="preserve">K8s node compute (on-prem, amortized)</t>
  </si>
  <si>
    <t xml:space="preserve">$/mo</t>
  </si>
  <si>
    <t xml:space="preserve">Self-managed control-plane / distro license</t>
  </si>
  <si>
    <t xml:space="preserve">Beyla/Caretta + tooling license</t>
  </si>
  <si>
    <t xml:space="preserve">Formula: K8s node compute (row above) x graph-engine overhead %. See Section 2 for why this replaced the old flat $600 guess.</t>
  </si>
  <si>
    <t xml:space="preserve">TOTAL INFRASTRUCTURE (monthly)</t>
  </si>
  <si>
    <t xml:space="preserve">9. CALCULATED COST — Data Throughput / Mimir (monthly)</t>
  </si>
  <si>
    <t xml:space="preserve">Mimir ingestion</t>
  </si>
  <si>
    <t xml:space="preserve">On-prem storage (at retention)</t>
  </si>
  <si>
    <t xml:space="preserve">Cross-AZ/region egress</t>
  </si>
  <si>
    <t xml:space="preserve">TOTAL DATA THROUGHPUT (monthly)</t>
  </si>
  <si>
    <t xml:space="preserve">10. CALCULATED COST — Claude Token Usage (monthly)</t>
  </si>
  <si>
    <t xml:space="preserve">Pod-path analyses per day</t>
  </si>
  <si>
    <t xml:space="preserve">analyses/day</t>
  </si>
  <si>
    <t xml:space="preserve">Pod-path analyses per month</t>
  </si>
  <si>
    <t xml:space="preserve">analyses/mo</t>
  </si>
  <si>
    <t xml:space="preserve">Total input tokens / month</t>
  </si>
  <si>
    <t xml:space="preserve">tokens</t>
  </si>
  <si>
    <t xml:space="preserve">Total output tokens / month</t>
  </si>
  <si>
    <t xml:space="preserve">Effective input price (model + batch lookup)</t>
  </si>
  <si>
    <t xml:space="preserve">$/MTok</t>
  </si>
  <si>
    <t xml:space="preserve">Effective output price (model + batch lookup)</t>
  </si>
  <si>
    <t xml:space="preserve">Input token cost</t>
  </si>
  <si>
    <t xml:space="preserve">Output token cost</t>
  </si>
  <si>
    <t xml:space="preserve">TOTAL CLAUDE TOKEN COST (monthly)</t>
  </si>
  <si>
    <t xml:space="preserve">11. GRAND TOTAL &amp; EXTRAPOLATION</t>
  </si>
  <si>
    <t xml:space="preserve">GRAND TOTAL (monthly, this cluster)</t>
  </si>
  <si>
    <t xml:space="preserve">GRAND TOTAL (annual, this cluster)</t>
  </si>
  <si>
    <t xml:space="preserve">$/yr</t>
  </si>
  <si>
    <t xml:space="preserve">Extrapolated total, full environment (naive x10)</t>
  </si>
  <si>
    <t xml:space="preserve">Cost per pod mapped (infra+data / pods)</t>
  </si>
  <si>
    <t xml:space="preserve">$/pod/mo</t>
  </si>
  <si>
    <t xml:space="preserve">Claude cost per run</t>
  </si>
  <si>
    <t xml:space="preserve">$/run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</si>
</sst>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;&quot;($&quot;#,##0\);\-"/>
    <numFmt numFmtId="166" formatCode="#,##0.00&quot; GB/day&quot;"/>
    <numFmt numFmtId="167" formatCode="0&quot; sec&quot;"/>
    <numFmt numFmtId="168" formatCode="#,##0"/>
    <numFmt numFmtId="169" formatCode="#,##0.0"/>
    <numFmt numFmtId="170" formatCode="#,##0.000"/>
    <numFmt numFmtId="171" formatCode="#,##0.00"/>
    <numFmt numFmtId="172" formatCode="\$#,##0.00;&quot;($&quot;#,##0.00\);\-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sz val="10.5"/>
      <name val="Arial"/>
      <family val="0"/>
      <charset val="1"/>
    </font>
    <font>
      <b val="true"/>
      <sz val="10.5"/>
      <color rgb="FF1F3864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i val="true"/>
      <sz val="10"/>
      <color rgb="FF1F3864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.5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.5"/>
      <color rgb="FF9C5700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D9D9D9"/>
      </patternFill>
    </fill>
    <fill>
      <patternFill patternType="solid">
        <fgColor rgb="FFEDF1F9"/>
        <bgColor rgb="FFF9F9F9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EDF1F9"/>
      </patternFill>
    </fill>
    <fill>
      <patternFill patternType="solid">
        <fgColor rgb="FFD9D9D9"/>
        <bgColor rgb="FFD9E2F3"/>
      </patternFill>
    </fill>
    <fill>
      <patternFill patternType="solid">
        <fgColor rgb="FFFFD966"/>
        <bgColor rgb="FFFFCC00"/>
      </patternFill>
    </fill>
    <fill>
      <patternFill patternType="solid">
        <fgColor rgb="FFFBE5D6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3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5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1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5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9F9F9"/>
      <rgbColor rgb="FFEDF1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E2EFDA"/>
      <rgbColor rgb="FFFBE5D6"/>
      <rgbColor rgb="FF99CCFF"/>
      <rgbColor rgb="FFFF99CC"/>
      <rgbColor rgb="FFCC99FF"/>
      <rgbColor rgb="FFFFD966"/>
      <rgbColor rgb="FF4F81BD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Cost by Bucket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'Cost Model'!H3</c:f>
              <c:strCache>
                <c:ptCount val="1"/>
                <c:pt idx="0">
                  <c:v>Monthly $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'Cost Model'!$G$4:$G$6</c:f>
              <c:strCache>
                <c:ptCount val="3"/>
                <c:pt idx="0">
                  <c:v>Infrastructure</c:v>
                </c:pt>
                <c:pt idx="1">
                  <c:v>Data throughput (Mimir)</c:v>
                </c:pt>
                <c:pt idx="2">
                  <c:v>Claude token usage</c:v>
                </c:pt>
              </c:strCache>
            </c:strRef>
          </c:cat>
          <c:val>
            <c:numRef>
              <c:f>'Cost Model'!$H$4:$H$6</c:f>
              <c:numCache>
                <c:formatCode>\$#,##0;"($"#,##0\);\-</c:formatCode>
                <c:ptCount val="3"/>
                <c:pt idx="0">
                  <c:v>1204.5</c:v>
                </c:pt>
                <c:pt idx="1">
                  <c:v>0.0228096</c:v>
                </c:pt>
                <c:pt idx="2">
                  <c:v>103.68</c:v>
                </c:pt>
              </c:numCache>
            </c:numRef>
          </c:val>
        </c:ser>
        <c:gapWidth val="150"/>
        <c:overlap val="0"/>
        <c:axId val="53420236"/>
        <c:axId val="43156708"/>
      </c:barChart>
      <c:catAx>
        <c:axId val="534202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156708"/>
        <c:crosses val="autoZero"/>
        <c:auto val="1"/>
        <c:lblAlgn val="ctr"/>
        <c:lblOffset val="100"/>
        <c:noMultiLvlLbl val="0"/>
      </c:catAx>
      <c:valAx>
        <c:axId val="431567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 / 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42023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17</xdr:row>
      <xdr:rowOff>0</xdr:rowOff>
    </xdr:from>
    <xdr:to>
      <xdr:col>10</xdr:col>
      <xdr:colOff>276840</xdr:colOff>
      <xdr:row>22</xdr:row>
      <xdr:rowOff>97200</xdr:rowOff>
    </xdr:to>
    <xdr:graphicFrame>
      <xdr:nvGraphicFramePr>
        <xdr:cNvPr id="0" name="Chart 1"/>
        <xdr:cNvGraphicFramePr/>
      </xdr:nvGraphicFramePr>
      <xdr:xfrm>
        <a:off x="11066040" y="601020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9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5" topLeftCell="B36" activePane="bottomRight" state="frozen"/>
      <selection pane="topLeft" activeCell="A1" activeCellId="0" sqref="A1"/>
      <selection pane="topRight" activeCell="B1" activeCellId="0" sqref="B1"/>
      <selection pane="bottomLeft" activeCell="A36" activeCellId="0" sqref="A3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2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5" min="5" style="0" width="72"/>
    <col collapsed="false" customWidth="true" hidden="false" outlineLevel="0" max="6" min="6" style="0" width="3"/>
    <col collapsed="false" customWidth="true" hidden="false" outlineLevel="0" max="7" min="7" style="0" width="32"/>
    <col collapsed="false" customWidth="true" hidden="false" outlineLevel="0" max="9" min="8" style="0" width="16"/>
  </cols>
  <sheetData>
    <row r="1" customFormat="false" ht="19.5" hidden="false" customHeight="true" outlineLevel="0" collapsed="false">
      <c r="B1" s="4" t="s">
        <v>18</v>
      </c>
      <c r="C1" s="4"/>
      <c r="D1" s="4"/>
      <c r="E1" s="4"/>
      <c r="G1" s="4" t="s">
        <v>19</v>
      </c>
      <c r="H1" s="4"/>
      <c r="I1" s="4"/>
    </row>
    <row r="3" customFormat="false" ht="18" hidden="false" customHeight="true" outlineLevel="0" collapsed="false">
      <c r="B3" s="5" t="s">
        <v>20</v>
      </c>
      <c r="C3" s="5"/>
      <c r="D3" s="5"/>
      <c r="E3" s="5"/>
      <c r="G3" s="6" t="s">
        <v>21</v>
      </c>
      <c r="H3" s="6" t="s">
        <v>22</v>
      </c>
      <c r="I3" s="6" t="s">
        <v>23</v>
      </c>
    </row>
    <row r="4" customFormat="false" ht="19.5" hidden="false" customHeight="true" outlineLevel="0" collapsed="false">
      <c r="B4" s="7" t="s">
        <v>24</v>
      </c>
      <c r="C4" s="8" t="s">
        <v>25</v>
      </c>
      <c r="D4" s="7"/>
      <c r="E4" s="9" t="s">
        <v>26</v>
      </c>
      <c r="G4" s="7" t="s">
        <v>27</v>
      </c>
      <c r="H4" s="10" t="n">
        <f aca="false">C71</f>
        <v>1204.5</v>
      </c>
      <c r="I4" s="10" t="n">
        <f aca="false">H4*12</f>
        <v>14454</v>
      </c>
    </row>
    <row r="5" customFormat="false" ht="48" hidden="false" customHeight="true" outlineLevel="0" collapsed="false">
      <c r="B5" s="7" t="s">
        <v>28</v>
      </c>
      <c r="C5" s="8" t="n">
        <v>1</v>
      </c>
      <c r="D5" s="7" t="s">
        <v>29</v>
      </c>
      <c r="E5" s="9" t="s">
        <v>30</v>
      </c>
      <c r="G5" s="7" t="s">
        <v>31</v>
      </c>
      <c r="H5" s="10" t="n">
        <f aca="false">C78</f>
        <v>0.0228096</v>
      </c>
      <c r="I5" s="10" t="n">
        <f aca="false">H5*12</f>
        <v>0.2737152</v>
      </c>
    </row>
    <row r="6" customFormat="false" ht="33.75" hidden="false" customHeight="true" outlineLevel="0" collapsed="false">
      <c r="B6" s="7" t="s">
        <v>32</v>
      </c>
      <c r="C6" s="8" t="n">
        <v>10</v>
      </c>
      <c r="D6" s="7" t="s">
        <v>29</v>
      </c>
      <c r="E6" s="9" t="s">
        <v>33</v>
      </c>
      <c r="G6" s="7" t="s">
        <v>34</v>
      </c>
      <c r="H6" s="10" t="n">
        <f aca="false">C90</f>
        <v>103.68</v>
      </c>
      <c r="I6" s="10" t="n">
        <f aca="false">H6*12</f>
        <v>1244.16</v>
      </c>
    </row>
    <row r="7" customFormat="false" ht="19.5" hidden="false" customHeight="true" outlineLevel="0" collapsed="false">
      <c r="B7" s="7" t="s">
        <v>35</v>
      </c>
      <c r="C7" s="8" t="n">
        <v>10</v>
      </c>
      <c r="D7" s="7" t="s">
        <v>36</v>
      </c>
      <c r="E7" s="9"/>
    </row>
    <row r="8" customFormat="false" ht="19.5" hidden="false" customHeight="true" outlineLevel="0" collapsed="false">
      <c r="B8" s="7" t="s">
        <v>37</v>
      </c>
      <c r="C8" s="8" t="n">
        <v>5</v>
      </c>
      <c r="D8" s="7" t="s">
        <v>38</v>
      </c>
      <c r="E8" s="9"/>
      <c r="G8" s="11" t="s">
        <v>39</v>
      </c>
      <c r="H8" s="12" t="n">
        <f aca="false">H4+H5+H6</f>
        <v>1308.2028096</v>
      </c>
      <c r="I8" s="12" t="n">
        <f aca="false">I4+I5+I6</f>
        <v>15698.4337152</v>
      </c>
    </row>
    <row r="9" customFormat="false" ht="19.5" hidden="false" customHeight="true" outlineLevel="0" collapsed="false">
      <c r="B9" s="7" t="s">
        <v>40</v>
      </c>
      <c r="C9" s="8" t="n">
        <v>40</v>
      </c>
      <c r="D9" s="7" t="s">
        <v>41</v>
      </c>
      <c r="E9" s="9"/>
    </row>
    <row r="10" customFormat="false" ht="61.5" hidden="false" customHeight="true" outlineLevel="0" collapsed="false">
      <c r="B10" s="7" t="s">
        <v>42</v>
      </c>
      <c r="C10" s="13" t="n">
        <v>0.15</v>
      </c>
      <c r="D10" s="7" t="s">
        <v>43</v>
      </c>
      <c r="E10" s="14" t="s">
        <v>44</v>
      </c>
      <c r="G10" s="15" t="s">
        <v>45</v>
      </c>
      <c r="H10" s="16" t="n">
        <f aca="false">C95</f>
        <v>13082.028096</v>
      </c>
      <c r="I10" s="16" t="n">
        <f aca="false">H10*12</f>
        <v>156984.337152</v>
      </c>
    </row>
    <row r="11" customFormat="false" ht="33.75" hidden="false" customHeight="true" outlineLevel="0" collapsed="false">
      <c r="B11" s="7" t="s">
        <v>46</v>
      </c>
      <c r="C11" s="8" t="n">
        <v>0</v>
      </c>
      <c r="D11" s="7" t="s">
        <v>47</v>
      </c>
      <c r="E11" s="9" t="s">
        <v>48</v>
      </c>
    </row>
    <row r="12" customFormat="false" ht="15" hidden="false" customHeight="false" outlineLevel="0" collapsed="false">
      <c r="G12" s="7" t="s">
        <v>49</v>
      </c>
      <c r="H12" s="17" t="n">
        <f aca="false">C42</f>
        <v>0.025344</v>
      </c>
    </row>
    <row r="13" customFormat="false" ht="19.5" hidden="false" customHeight="true" outlineLevel="0" collapsed="false">
      <c r="B13" s="5" t="s">
        <v>50</v>
      </c>
      <c r="C13" s="5"/>
      <c r="D13" s="5"/>
      <c r="E13" s="5"/>
      <c r="G13" s="7" t="s">
        <v>51</v>
      </c>
      <c r="H13" s="18" t="n">
        <f aca="false">C34</f>
        <v>15</v>
      </c>
    </row>
    <row r="14" customFormat="false" ht="33.75" hidden="false" customHeight="true" outlineLevel="0" collapsed="false">
      <c r="B14" s="7" t="s">
        <v>52</v>
      </c>
      <c r="C14" s="8" t="s">
        <v>53</v>
      </c>
      <c r="D14" s="7"/>
      <c r="E14" s="9" t="s">
        <v>54</v>
      </c>
      <c r="G14" s="7" t="s">
        <v>55</v>
      </c>
      <c r="H14" s="19" t="n">
        <f aca="false">C83+C84</f>
        <v>28800000</v>
      </c>
    </row>
    <row r="15" customFormat="false" ht="33.75" hidden="false" customHeight="true" outlineLevel="0" collapsed="false">
      <c r="B15" s="7" t="s">
        <v>56</v>
      </c>
      <c r="C15" s="8" t="s">
        <v>57</v>
      </c>
      <c r="D15" s="7"/>
      <c r="E15" s="9" t="s">
        <v>58</v>
      </c>
    </row>
    <row r="16" customFormat="false" ht="30" hidden="false" customHeight="true" outlineLevel="0" collapsed="false">
      <c r="B16" s="7" t="s">
        <v>59</v>
      </c>
      <c r="C16" s="8" t="s">
        <v>60</v>
      </c>
      <c r="D16" s="7"/>
      <c r="E16" s="9" t="s">
        <v>61</v>
      </c>
      <c r="G16" s="20" t="s">
        <v>62</v>
      </c>
      <c r="H16" s="20"/>
      <c r="I16" s="20"/>
    </row>
    <row r="17" customFormat="false" ht="33.75" hidden="false" customHeight="true" outlineLevel="0" collapsed="false">
      <c r="B17" s="7" t="s">
        <v>63</v>
      </c>
      <c r="C17" s="8" t="n">
        <v>0</v>
      </c>
      <c r="D17" s="7" t="s">
        <v>64</v>
      </c>
      <c r="E17" s="9" t="s">
        <v>65</v>
      </c>
    </row>
    <row r="18" customFormat="false" ht="33.75" hidden="false" customHeight="true" outlineLevel="0" collapsed="false">
      <c r="B18" s="7" t="s">
        <v>66</v>
      </c>
      <c r="C18" s="8" t="n">
        <v>0</v>
      </c>
      <c r="D18" s="7" t="s">
        <v>67</v>
      </c>
      <c r="E18" s="9" t="s">
        <v>68</v>
      </c>
    </row>
    <row r="19" customFormat="false" ht="145.5" hidden="false" customHeight="true" outlineLevel="0" collapsed="false">
      <c r="B19" s="7" t="s">
        <v>69</v>
      </c>
      <c r="C19" s="13" t="n">
        <v>0.1</v>
      </c>
      <c r="D19" s="7" t="s">
        <v>70</v>
      </c>
      <c r="E19" s="14" t="s">
        <v>71</v>
      </c>
    </row>
    <row r="21" customFormat="false" ht="19.5" hidden="false" customHeight="true" outlineLevel="0" collapsed="false">
      <c r="B21" s="5" t="s">
        <v>72</v>
      </c>
      <c r="C21" s="5"/>
      <c r="D21" s="5"/>
      <c r="E21" s="5"/>
    </row>
    <row r="22" customFormat="false" ht="19.5" hidden="false" customHeight="true" outlineLevel="0" collapsed="false">
      <c r="B22" s="7" t="s">
        <v>73</v>
      </c>
      <c r="C22" s="8" t="n">
        <v>20</v>
      </c>
      <c r="D22" s="7" t="s">
        <v>74</v>
      </c>
      <c r="E22" s="9"/>
    </row>
    <row r="23" customFormat="false" ht="48" hidden="false" customHeight="true" outlineLevel="0" collapsed="false">
      <c r="B23" s="7" t="s">
        <v>75</v>
      </c>
      <c r="C23" s="13" t="n">
        <v>16</v>
      </c>
      <c r="D23" s="7" t="s">
        <v>76</v>
      </c>
      <c r="E23" s="14" t="s">
        <v>77</v>
      </c>
    </row>
    <row r="24" customFormat="false" ht="19.5" hidden="false" customHeight="true" outlineLevel="0" collapsed="false">
      <c r="B24" s="7" t="s">
        <v>78</v>
      </c>
      <c r="C24" s="8" t="n">
        <v>15</v>
      </c>
      <c r="D24" s="7" t="s">
        <v>79</v>
      </c>
      <c r="E24" s="9"/>
    </row>
    <row r="25" customFormat="false" ht="48" hidden="false" customHeight="true" outlineLevel="0" collapsed="false">
      <c r="B25" s="7" t="s">
        <v>80</v>
      </c>
      <c r="C25" s="13" t="n">
        <v>2</v>
      </c>
      <c r="D25" s="7" t="s">
        <v>81</v>
      </c>
      <c r="E25" s="14" t="s">
        <v>82</v>
      </c>
    </row>
    <row r="26" customFormat="false" ht="33.75" hidden="false" customHeight="true" outlineLevel="0" collapsed="false">
      <c r="B26" s="7" t="s">
        <v>83</v>
      </c>
      <c r="C26" s="21" t="n">
        <f aca="false">C5*C8</f>
        <v>5</v>
      </c>
      <c r="D26" s="7" t="s">
        <v>84</v>
      </c>
      <c r="E26" s="9"/>
    </row>
    <row r="27" customFormat="false" ht="19.5" hidden="false" customHeight="true" outlineLevel="0" collapsed="false">
      <c r="B27" s="7" t="s">
        <v>85</v>
      </c>
      <c r="C27" s="21" t="n">
        <f aca="false">C26*C22*C23</f>
        <v>1600</v>
      </c>
      <c r="D27" s="7" t="s">
        <v>86</v>
      </c>
      <c r="E27" s="9" t="s">
        <v>87</v>
      </c>
    </row>
    <row r="28" customFormat="false" ht="48" hidden="false" customHeight="true" outlineLevel="0" collapsed="false">
      <c r="B28" s="7" t="s">
        <v>88</v>
      </c>
      <c r="C28" s="22" t="n">
        <f aca="false">C27/C24</f>
        <v>106.666666666667</v>
      </c>
      <c r="D28" s="7" t="s">
        <v>89</v>
      </c>
      <c r="E28" s="9" t="s">
        <v>90</v>
      </c>
    </row>
    <row r="29" customFormat="false" ht="19.5" hidden="false" customHeight="true" outlineLevel="0" collapsed="false">
      <c r="B29" s="7" t="s">
        <v>91</v>
      </c>
      <c r="C29" s="23" t="n">
        <f aca="false">C28*C25*86400/1000000000</f>
        <v>0.018432</v>
      </c>
      <c r="D29" s="7" t="s">
        <v>92</v>
      </c>
      <c r="E29" s="9" t="s">
        <v>93</v>
      </c>
    </row>
    <row r="31" customFormat="false" ht="19.5" hidden="false" customHeight="true" outlineLevel="0" collapsed="false">
      <c r="B31" s="5" t="s">
        <v>94</v>
      </c>
      <c r="C31" s="5"/>
      <c r="D31" s="5"/>
      <c r="E31" s="5"/>
    </row>
    <row r="32" customFormat="false" ht="19.5" hidden="false" customHeight="true" outlineLevel="0" collapsed="false">
      <c r="B32" s="7" t="s">
        <v>95</v>
      </c>
      <c r="C32" s="8" t="n">
        <v>10</v>
      </c>
      <c r="D32" s="7" t="s">
        <v>96</v>
      </c>
      <c r="E32" s="9"/>
    </row>
    <row r="33" customFormat="false" ht="19.5" hidden="false" customHeight="true" outlineLevel="0" collapsed="false">
      <c r="B33" s="7" t="s">
        <v>75</v>
      </c>
      <c r="C33" s="8" t="n">
        <v>12</v>
      </c>
      <c r="D33" s="7" t="s">
        <v>76</v>
      </c>
      <c r="E33" s="9"/>
    </row>
    <row r="34" customFormat="false" ht="33.75" hidden="false" customHeight="true" outlineLevel="0" collapsed="false">
      <c r="B34" s="7" t="s">
        <v>97</v>
      </c>
      <c r="C34" s="8" t="n">
        <v>15</v>
      </c>
      <c r="D34" s="7" t="s">
        <v>79</v>
      </c>
      <c r="E34" s="9" t="s">
        <v>98</v>
      </c>
    </row>
    <row r="35" customFormat="false" ht="61.5" hidden="false" customHeight="true" outlineLevel="0" collapsed="false">
      <c r="B35" s="7" t="s">
        <v>99</v>
      </c>
      <c r="C35" s="13" t="n">
        <v>1</v>
      </c>
      <c r="D35" s="7" t="s">
        <v>100</v>
      </c>
      <c r="E35" s="14" t="s">
        <v>101</v>
      </c>
    </row>
    <row r="36" customFormat="false" ht="19.5" hidden="false" customHeight="true" outlineLevel="0" collapsed="false">
      <c r="B36" s="7" t="s">
        <v>102</v>
      </c>
      <c r="C36" s="21" t="n">
        <f aca="false">C26*C32*C33*C35</f>
        <v>600</v>
      </c>
      <c r="D36" s="7" t="s">
        <v>86</v>
      </c>
      <c r="E36" s="9"/>
    </row>
    <row r="37" customFormat="false" ht="19.5" hidden="false" customHeight="true" outlineLevel="0" collapsed="false">
      <c r="B37" s="7" t="s">
        <v>88</v>
      </c>
      <c r="C37" s="22" t="n">
        <f aca="false">C36/C34</f>
        <v>40</v>
      </c>
      <c r="D37" s="7" t="s">
        <v>89</v>
      </c>
      <c r="E37" s="9"/>
    </row>
    <row r="38" customFormat="false" ht="19.5" hidden="false" customHeight="true" outlineLevel="0" collapsed="false">
      <c r="B38" s="7" t="s">
        <v>91</v>
      </c>
      <c r="C38" s="23" t="n">
        <f aca="false">C37*C25*86400/1000000000</f>
        <v>0.006912</v>
      </c>
      <c r="D38" s="7" t="s">
        <v>92</v>
      </c>
      <c r="E38" s="9"/>
    </row>
    <row r="39" customFormat="false" ht="19.5" hidden="false" customHeight="true" outlineLevel="0" collapsed="false">
      <c r="B39" s="7" t="s">
        <v>103</v>
      </c>
      <c r="C39" s="24" t="n">
        <f aca="false">86400/C34</f>
        <v>5760</v>
      </c>
      <c r="D39" s="7" t="s">
        <v>104</v>
      </c>
      <c r="E39" s="9"/>
    </row>
    <row r="41" customFormat="false" ht="19.5" hidden="false" customHeight="true" outlineLevel="0" collapsed="false">
      <c r="B41" s="5" t="s">
        <v>105</v>
      </c>
      <c r="C41" s="5"/>
      <c r="D41" s="5"/>
      <c r="E41" s="5"/>
    </row>
    <row r="42" customFormat="false" ht="19.5" hidden="false" customHeight="true" outlineLevel="0" collapsed="false">
      <c r="B42" s="7" t="s">
        <v>106</v>
      </c>
      <c r="C42" s="25" t="n">
        <f aca="false">C29+C38</f>
        <v>0.025344</v>
      </c>
      <c r="D42" s="7" t="s">
        <v>92</v>
      </c>
      <c r="E42" s="9"/>
    </row>
    <row r="43" customFormat="false" ht="19.5" hidden="false" customHeight="true" outlineLevel="0" collapsed="false">
      <c r="B43" s="7" t="s">
        <v>107</v>
      </c>
      <c r="C43" s="21" t="n">
        <f aca="false">C42*30</f>
        <v>0.76032</v>
      </c>
      <c r="D43" s="7" t="s">
        <v>108</v>
      </c>
      <c r="E43" s="9"/>
    </row>
    <row r="44" customFormat="false" ht="33.75" hidden="false" customHeight="true" outlineLevel="0" collapsed="false">
      <c r="B44" s="7" t="s">
        <v>109</v>
      </c>
      <c r="C44" s="8" t="n">
        <v>0</v>
      </c>
      <c r="D44" s="7" t="s">
        <v>110</v>
      </c>
      <c r="E44" s="9" t="s">
        <v>111</v>
      </c>
    </row>
    <row r="45" customFormat="false" ht="33.75" hidden="false" customHeight="true" outlineLevel="0" collapsed="false">
      <c r="B45" s="7" t="s">
        <v>112</v>
      </c>
      <c r="C45" s="8" t="n">
        <v>0.03</v>
      </c>
      <c r="D45" s="7" t="s">
        <v>113</v>
      </c>
      <c r="E45" s="9" t="s">
        <v>114</v>
      </c>
    </row>
    <row r="46" customFormat="false" ht="19.5" hidden="false" customHeight="true" outlineLevel="0" collapsed="false">
      <c r="B46" s="7" t="s">
        <v>115</v>
      </c>
      <c r="C46" s="8" t="n">
        <v>30</v>
      </c>
      <c r="D46" s="7" t="s">
        <v>116</v>
      </c>
      <c r="E46" s="9"/>
    </row>
    <row r="47" customFormat="false" ht="33.75" hidden="false" customHeight="true" outlineLevel="0" collapsed="false">
      <c r="B47" s="7" t="s">
        <v>117</v>
      </c>
      <c r="C47" s="8" t="n">
        <v>0</v>
      </c>
      <c r="D47" s="7" t="s">
        <v>92</v>
      </c>
      <c r="E47" s="9" t="s">
        <v>118</v>
      </c>
    </row>
    <row r="48" customFormat="false" ht="19.5" hidden="false" customHeight="true" outlineLevel="0" collapsed="false">
      <c r="B48" s="7" t="s">
        <v>119</v>
      </c>
      <c r="C48" s="8" t="n">
        <v>0</v>
      </c>
      <c r="D48" s="7" t="s">
        <v>120</v>
      </c>
      <c r="E48" s="9"/>
    </row>
    <row r="50" customFormat="false" ht="19.5" hidden="false" customHeight="true" outlineLevel="0" collapsed="false">
      <c r="B50" s="5" t="s">
        <v>121</v>
      </c>
      <c r="C50" s="5"/>
      <c r="D50" s="5"/>
      <c r="E50" s="5"/>
    </row>
    <row r="51" customFormat="false" ht="48" hidden="false" customHeight="true" outlineLevel="0" collapsed="false">
      <c r="B51" s="7" t="s">
        <v>122</v>
      </c>
      <c r="C51" s="8" t="n">
        <v>24</v>
      </c>
      <c r="D51" s="7" t="s">
        <v>123</v>
      </c>
      <c r="E51" s="9" t="s">
        <v>124</v>
      </c>
    </row>
    <row r="52" customFormat="false" ht="19.5" hidden="false" customHeight="true" outlineLevel="0" collapsed="false">
      <c r="B52" s="7" t="s">
        <v>125</v>
      </c>
      <c r="C52" s="24" t="n">
        <f aca="false">C9</f>
        <v>40</v>
      </c>
      <c r="D52" s="7" t="s">
        <v>126</v>
      </c>
      <c r="E52" s="9"/>
    </row>
    <row r="53" customFormat="false" ht="33.75" hidden="false" customHeight="true" outlineLevel="0" collapsed="false">
      <c r="B53" s="7" t="s">
        <v>127</v>
      </c>
      <c r="C53" s="8" t="n">
        <v>800</v>
      </c>
      <c r="D53" s="7" t="s">
        <v>128</v>
      </c>
      <c r="E53" s="9" t="s">
        <v>129</v>
      </c>
    </row>
    <row r="54" customFormat="false" ht="33.75" hidden="false" customHeight="true" outlineLevel="0" collapsed="false">
      <c r="B54" s="7" t="s">
        <v>130</v>
      </c>
      <c r="C54" s="8" t="n">
        <v>200</v>
      </c>
      <c r="D54" s="7" t="s">
        <v>128</v>
      </c>
      <c r="E54" s="9" t="s">
        <v>131</v>
      </c>
    </row>
    <row r="55" customFormat="false" ht="19.5" hidden="false" customHeight="true" outlineLevel="0" collapsed="false">
      <c r="B55" s="7" t="s">
        <v>132</v>
      </c>
      <c r="C55" s="8" t="s">
        <v>133</v>
      </c>
      <c r="D55" s="7"/>
      <c r="E55" s="9" t="s">
        <v>134</v>
      </c>
    </row>
    <row r="56" customFormat="false" ht="19.5" hidden="false" customHeight="true" outlineLevel="0" collapsed="false">
      <c r="B56" s="7" t="s">
        <v>135</v>
      </c>
      <c r="C56" s="8" t="s">
        <v>136</v>
      </c>
      <c r="D56" s="7"/>
      <c r="E56" s="9" t="s">
        <v>137</v>
      </c>
    </row>
    <row r="58" customFormat="false" ht="19.5" hidden="false" customHeight="true" outlineLevel="0" collapsed="false">
      <c r="B58" s="5" t="s">
        <v>138</v>
      </c>
      <c r="C58" s="5"/>
      <c r="D58" s="5"/>
      <c r="E58" s="5"/>
    </row>
    <row r="59" customFormat="false" ht="18" hidden="false" customHeight="true" outlineLevel="0" collapsed="false">
      <c r="B59" s="6" t="s">
        <v>132</v>
      </c>
      <c r="C59" s="6" t="s">
        <v>139</v>
      </c>
      <c r="D59" s="6" t="s">
        <v>140</v>
      </c>
      <c r="E59" s="6" t="s">
        <v>141</v>
      </c>
      <c r="F59" s="6" t="s">
        <v>142</v>
      </c>
    </row>
    <row r="60" customFormat="false" ht="18" hidden="false" customHeight="true" outlineLevel="0" collapsed="false">
      <c r="B60" s="26" t="s">
        <v>143</v>
      </c>
      <c r="C60" s="27" t="n">
        <v>1</v>
      </c>
      <c r="D60" s="27" t="n">
        <v>5</v>
      </c>
      <c r="E60" s="27" t="n">
        <v>0.5</v>
      </c>
      <c r="F60" s="27" t="n">
        <v>2.5</v>
      </c>
    </row>
    <row r="61" customFormat="false" ht="18" hidden="false" customHeight="true" outlineLevel="0" collapsed="false">
      <c r="B61" s="26" t="s">
        <v>133</v>
      </c>
      <c r="C61" s="27" t="n">
        <v>2</v>
      </c>
      <c r="D61" s="27" t="n">
        <v>10</v>
      </c>
      <c r="E61" s="27" t="n">
        <v>1</v>
      </c>
      <c r="F61" s="27" t="n">
        <v>5</v>
      </c>
    </row>
    <row r="62" customFormat="false" ht="18" hidden="false" customHeight="true" outlineLevel="0" collapsed="false">
      <c r="B62" s="26" t="s">
        <v>144</v>
      </c>
      <c r="C62" s="27" t="n">
        <v>5</v>
      </c>
      <c r="D62" s="27" t="n">
        <v>25</v>
      </c>
      <c r="E62" s="27" t="n">
        <v>2.5</v>
      </c>
      <c r="F62" s="27" t="n">
        <v>12.5</v>
      </c>
    </row>
    <row r="64" customFormat="false" ht="19.5" hidden="false" customHeight="true" outlineLevel="0" collapsed="false">
      <c r="B64" s="5" t="s">
        <v>145</v>
      </c>
      <c r="C64" s="5"/>
      <c r="D64" s="5"/>
      <c r="E64" s="5"/>
    </row>
    <row r="65" customFormat="false" ht="19.5" hidden="false" customHeight="true" outlineLevel="0" collapsed="false">
      <c r="B65" s="7" t="s">
        <v>146</v>
      </c>
      <c r="C65" s="28" t="n">
        <f aca="false">C5*C7*C10*730</f>
        <v>1095</v>
      </c>
      <c r="D65" s="7" t="s">
        <v>147</v>
      </c>
      <c r="E65" s="9"/>
    </row>
    <row r="66" customFormat="false" ht="19.5" hidden="false" customHeight="true" outlineLevel="0" collapsed="false">
      <c r="B66" s="7" t="s">
        <v>148</v>
      </c>
      <c r="C66" s="28" t="n">
        <f aca="false">C5*C11*730</f>
        <v>0</v>
      </c>
      <c r="D66" s="7" t="s">
        <v>147</v>
      </c>
      <c r="E66" s="9"/>
    </row>
    <row r="67" customFormat="false" ht="19.5" hidden="false" customHeight="true" outlineLevel="0" collapsed="false">
      <c r="B67" s="7" t="s">
        <v>149</v>
      </c>
      <c r="C67" s="28" t="n">
        <f aca="false">C17</f>
        <v>0</v>
      </c>
      <c r="D67" s="7" t="s">
        <v>147</v>
      </c>
      <c r="E67" s="9"/>
    </row>
    <row r="68" customFormat="false" ht="19.5" hidden="false" customHeight="true" outlineLevel="0" collapsed="false">
      <c r="B68" s="7" t="s">
        <v>66</v>
      </c>
      <c r="C68" s="28" t="n">
        <f aca="false">C5*C7*C18</f>
        <v>0</v>
      </c>
      <c r="D68" s="7" t="s">
        <v>147</v>
      </c>
      <c r="E68" s="9"/>
    </row>
    <row r="69" customFormat="false" ht="33.75" hidden="false" customHeight="true" outlineLevel="0" collapsed="false">
      <c r="B69" s="7" t="s">
        <v>69</v>
      </c>
      <c r="C69" s="28" t="n">
        <f aca="false">C65*C19</f>
        <v>109.5</v>
      </c>
      <c r="D69" s="7" t="s">
        <v>147</v>
      </c>
      <c r="E69" s="9" t="s">
        <v>150</v>
      </c>
    </row>
    <row r="71" customFormat="false" ht="19.5" hidden="false" customHeight="true" outlineLevel="0" collapsed="false">
      <c r="B71" s="29" t="s">
        <v>151</v>
      </c>
      <c r="C71" s="30" t="n">
        <f aca="false">C65+C66+C67+C68+C69</f>
        <v>1204.5</v>
      </c>
      <c r="D71" s="7" t="s">
        <v>147</v>
      </c>
      <c r="E71" s="9"/>
    </row>
    <row r="73" customFormat="false" ht="19.5" hidden="false" customHeight="true" outlineLevel="0" collapsed="false">
      <c r="B73" s="5" t="s">
        <v>152</v>
      </c>
      <c r="C73" s="5"/>
      <c r="D73" s="5"/>
      <c r="E73" s="5"/>
    </row>
    <row r="74" customFormat="false" ht="19.5" hidden="false" customHeight="true" outlineLevel="0" collapsed="false">
      <c r="B74" s="7" t="s">
        <v>153</v>
      </c>
      <c r="C74" s="28" t="n">
        <f aca="false">C43*C44</f>
        <v>0</v>
      </c>
      <c r="D74" s="7" t="s">
        <v>147</v>
      </c>
      <c r="E74" s="9"/>
    </row>
    <row r="75" customFormat="false" ht="19.5" hidden="false" customHeight="true" outlineLevel="0" collapsed="false">
      <c r="B75" s="7" t="s">
        <v>154</v>
      </c>
      <c r="C75" s="28" t="n">
        <f aca="false">C42*C46*C45</f>
        <v>0.0228096</v>
      </c>
      <c r="D75" s="7" t="s">
        <v>147</v>
      </c>
      <c r="E75" s="9"/>
    </row>
    <row r="76" customFormat="false" ht="19.5" hidden="false" customHeight="true" outlineLevel="0" collapsed="false">
      <c r="B76" s="7" t="s">
        <v>155</v>
      </c>
      <c r="C76" s="28" t="n">
        <f aca="false">C47*30*C48</f>
        <v>0</v>
      </c>
      <c r="D76" s="7" t="s">
        <v>147</v>
      </c>
      <c r="E76" s="9"/>
    </row>
    <row r="78" customFormat="false" ht="19.5" hidden="false" customHeight="true" outlineLevel="0" collapsed="false">
      <c r="B78" s="29" t="s">
        <v>156</v>
      </c>
      <c r="C78" s="30" t="n">
        <f aca="false">C74+C75+C76</f>
        <v>0.0228096</v>
      </c>
      <c r="D78" s="7" t="s">
        <v>147</v>
      </c>
      <c r="E78" s="9"/>
    </row>
    <row r="80" customFormat="false" ht="19.5" hidden="false" customHeight="true" outlineLevel="0" collapsed="false">
      <c r="B80" s="5" t="s">
        <v>157</v>
      </c>
      <c r="C80" s="5"/>
      <c r="D80" s="5"/>
      <c r="E80" s="5"/>
    </row>
    <row r="81" customFormat="false" ht="19.5" hidden="false" customHeight="true" outlineLevel="0" collapsed="false">
      <c r="B81" s="7" t="s">
        <v>158</v>
      </c>
      <c r="C81" s="21" t="n">
        <f aca="false">C51*C52</f>
        <v>960</v>
      </c>
      <c r="D81" s="7" t="s">
        <v>159</v>
      </c>
      <c r="E81" s="9"/>
    </row>
    <row r="82" customFormat="false" ht="19.5" hidden="false" customHeight="true" outlineLevel="0" collapsed="false">
      <c r="B82" s="7" t="s">
        <v>160</v>
      </c>
      <c r="C82" s="21" t="n">
        <f aca="false">C81*30</f>
        <v>28800</v>
      </c>
      <c r="D82" s="7" t="s">
        <v>161</v>
      </c>
      <c r="E82" s="9"/>
    </row>
    <row r="83" customFormat="false" ht="19.5" hidden="false" customHeight="true" outlineLevel="0" collapsed="false">
      <c r="B83" s="7" t="s">
        <v>162</v>
      </c>
      <c r="C83" s="21" t="n">
        <f aca="false">C82*C53</f>
        <v>23040000</v>
      </c>
      <c r="D83" s="7" t="s">
        <v>163</v>
      </c>
      <c r="E83" s="9"/>
    </row>
    <row r="84" customFormat="false" ht="19.5" hidden="false" customHeight="true" outlineLevel="0" collapsed="false">
      <c r="B84" s="7" t="s">
        <v>164</v>
      </c>
      <c r="C84" s="21" t="n">
        <f aca="false">C82*C54</f>
        <v>5760000</v>
      </c>
      <c r="D84" s="7" t="s">
        <v>163</v>
      </c>
      <c r="E84" s="9"/>
    </row>
    <row r="85" customFormat="false" ht="19.5" hidden="false" customHeight="true" outlineLevel="0" collapsed="false">
      <c r="B85" s="7" t="s">
        <v>165</v>
      </c>
      <c r="C85" s="31" t="n">
        <f aca="false">IF(C56="Y",INDEX(E60:E62,MATCH(C55,B60:B62,0)),INDEX(C60:C62,MATCH(C55,B60:B62,0)))</f>
        <v>2</v>
      </c>
      <c r="D85" s="7" t="s">
        <v>166</v>
      </c>
      <c r="E85" s="9"/>
    </row>
    <row r="86" customFormat="false" ht="19.5" hidden="false" customHeight="true" outlineLevel="0" collapsed="false">
      <c r="B86" s="7" t="s">
        <v>167</v>
      </c>
      <c r="C86" s="31" t="n">
        <f aca="false">IF(C56="Y",INDEX(F60:F62,MATCH(C55,B60:B62,0)),INDEX(D60:D62,MATCH(C55,B60:B62,0)))</f>
        <v>10</v>
      </c>
      <c r="D86" s="7" t="s">
        <v>166</v>
      </c>
      <c r="E86" s="9"/>
    </row>
    <row r="87" customFormat="false" ht="19.5" hidden="false" customHeight="true" outlineLevel="0" collapsed="false">
      <c r="B87" s="7" t="s">
        <v>168</v>
      </c>
      <c r="C87" s="28" t="n">
        <f aca="false">(C83/1000000)*C85</f>
        <v>46.08</v>
      </c>
      <c r="D87" s="7" t="s">
        <v>147</v>
      </c>
      <c r="E87" s="9"/>
    </row>
    <row r="88" customFormat="false" ht="19.5" hidden="false" customHeight="true" outlineLevel="0" collapsed="false">
      <c r="B88" s="7" t="s">
        <v>169</v>
      </c>
      <c r="C88" s="28" t="n">
        <f aca="false">(C84/1000000)*C86</f>
        <v>57.6</v>
      </c>
      <c r="D88" s="7" t="s">
        <v>147</v>
      </c>
      <c r="E88" s="9"/>
    </row>
    <row r="90" customFormat="false" ht="19.5" hidden="false" customHeight="true" outlineLevel="0" collapsed="false">
      <c r="B90" s="29" t="s">
        <v>170</v>
      </c>
      <c r="C90" s="30" t="n">
        <f aca="false">C87+C88</f>
        <v>103.68</v>
      </c>
      <c r="D90" s="7" t="s">
        <v>147</v>
      </c>
      <c r="E90" s="9"/>
    </row>
    <row r="92" customFormat="false" ht="19.5" hidden="false" customHeight="true" outlineLevel="0" collapsed="false">
      <c r="B92" s="5" t="s">
        <v>171</v>
      </c>
      <c r="C92" s="5"/>
      <c r="D92" s="5"/>
      <c r="E92" s="5"/>
    </row>
    <row r="93" customFormat="false" ht="19.5" hidden="false" customHeight="true" outlineLevel="0" collapsed="false">
      <c r="B93" s="7" t="s">
        <v>172</v>
      </c>
      <c r="C93" s="32" t="n">
        <f aca="false">C71+C78+C90</f>
        <v>1308.2028096</v>
      </c>
      <c r="D93" s="7" t="s">
        <v>147</v>
      </c>
      <c r="E93" s="9"/>
    </row>
    <row r="94" customFormat="false" ht="19.5" hidden="false" customHeight="true" outlineLevel="0" collapsed="false">
      <c r="B94" s="7" t="s">
        <v>173</v>
      </c>
      <c r="C94" s="32" t="n">
        <f aca="false">C93*12</f>
        <v>15698.4337152</v>
      </c>
      <c r="D94" s="7" t="s">
        <v>174</v>
      </c>
      <c r="E94" s="9"/>
    </row>
    <row r="95" customFormat="false" ht="19.5" hidden="false" customHeight="true" outlineLevel="0" collapsed="false">
      <c r="B95" s="7" t="s">
        <v>175</v>
      </c>
      <c r="C95" s="16" t="n">
        <f aca="false">C93*C6/C5</f>
        <v>13082.028096</v>
      </c>
      <c r="D95" s="7" t="s">
        <v>147</v>
      </c>
      <c r="E95" s="9"/>
    </row>
    <row r="96" customFormat="false" ht="19.5" hidden="false" customHeight="true" outlineLevel="0" collapsed="false">
      <c r="B96" s="7" t="s">
        <v>176</v>
      </c>
      <c r="C96" s="31" t="n">
        <f aca="false">(C71+C78)/C9</f>
        <v>30.11307024</v>
      </c>
      <c r="D96" s="7" t="s">
        <v>177</v>
      </c>
      <c r="E96" s="9"/>
    </row>
    <row r="97" customFormat="false" ht="19.5" hidden="false" customHeight="true" outlineLevel="0" collapsed="false">
      <c r="B97" s="7" t="s">
        <v>178</v>
      </c>
      <c r="C97" s="31" t="n">
        <f aca="false">C90/(C51*30)</f>
        <v>0.144</v>
      </c>
      <c r="D97" s="7" t="s">
        <v>179</v>
      </c>
      <c r="E97" s="9"/>
    </row>
  </sheetData>
  <mergeCells count="14">
    <mergeCell ref="B1:E1"/>
    <mergeCell ref="G1:I1"/>
    <mergeCell ref="B3:E3"/>
    <mergeCell ref="B13:E13"/>
    <mergeCell ref="G16:I16"/>
    <mergeCell ref="B21:E21"/>
    <mergeCell ref="B31:E31"/>
    <mergeCell ref="B41:E41"/>
    <mergeCell ref="B50:E50"/>
    <mergeCell ref="B58:E58"/>
    <mergeCell ref="B64:E64"/>
    <mergeCell ref="B73:E73"/>
    <mergeCell ref="B80:E80"/>
    <mergeCell ref="B92:E9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2026-09-10T20:38:27Z</dcterms:created>
  <dc:creator>openpyxl</dc:creator>
  <dc:description/>
  <dc:language>en-US</dc:language>
  <cp:lastModifiedBy/>
  <dcterms:modified xsi:type="dcterms:W3CDTF">2026-09-10T20:38:29Z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