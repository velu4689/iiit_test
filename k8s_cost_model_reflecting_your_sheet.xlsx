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st Model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<sst xmlns="http://schemas.openxmlformats.org/spreadsheetml/2006/main" count="54" uniqueCount="41">
  <si>
    <t xml:space="preserve">On-prem</t>
  </si>
  <si>
    <t xml:space="preserve">Infrastructure type</t>
  </si>
  <si>
    <t xml:space="preserve">On-Prem</t>
  </si>
  <si>
    <t xml:space="preserve">Clusters considered for this analysis</t>
  </si>
  <si>
    <t xml:space="preserve">THIS is the active driver used in every formula below — flex it up/down to test scenarios. Distinct from a fixed 'total environment' figure, which you can track separately if useful.</t>
  </si>
  <si>
    <t xml:space="preserve">Nodes per cluster</t>
  </si>
  <si>
    <t xml:space="preserve">Services per cluster</t>
  </si>
  <si>
    <t xml:space="preserve">Pods per cluster (total workload instances)</t>
  </si>
  <si>
    <t xml:space="preserve">Metrics - Data Volume - Network Path</t>
  </si>
  <si>
    <t xml:space="preserve">Metrics per service</t>
  </si>
  <si>
    <t xml:space="preserve">Labels per metric</t>
  </si>
  <si>
    <t xml:space="preserve">Scrape Interval (Seconds)</t>
  </si>
  <si>
    <t xml:space="preserve">Bytes per sample (compressed remote-write) (bytes/sample)</t>
  </si>
  <si>
    <t xml:space="preserve">Total Services (clusters x services/cluster)</t>
  </si>
  <si>
    <t xml:space="preserve">FIXED: now = clusters considered x services/cluster (was a static number before) — this is what makes downstream volume scale with cluster count.</t>
  </si>
  <si>
    <t xml:space="preserve">Active Series (ATS)</t>
  </si>
  <si>
    <t xml:space="preserve">Ingestion Rate (samples/second)</t>
  </si>
  <si>
    <t xml:space="preserve">Data volume (GB/day)</t>
  </si>
  <si>
    <t xml:space="preserve">Metrics - Data Volume - Services Path</t>
  </si>
  <si>
    <t xml:space="preserve">Mimir Ingestion, Storage &amp; Retention</t>
  </si>
  <si>
    <t xml:space="preserve">Total Mimir ingestion volume (Network + k8s Services) (GB/day)</t>
  </si>
  <si>
    <t xml:space="preserve">Total Mimir ingestion volume (monthly) (GB/month)</t>
  </si>
  <si>
    <t xml:space="preserve">Token Usage</t>
  </si>
  <si>
    <t xml:space="preserve">Claude runs per day</t>
  </si>
  <si>
    <t xml:space="preserve">Pods analyzed per run</t>
  </si>
  <si>
    <t xml:space="preserve">FIXED: this was a flat 40 before, blind to cluster count. Now = clusters considered x pods/cluster, so every LLM request's token size scales with how many clusters you're analyzing — this is the change you asked for.</t>
  </si>
  <si>
    <t xml:space="preserve">Avg input tokens per pod-path (rough estimate) (tokens/pod)</t>
  </si>
  <si>
    <t xml:space="preserve">Per-pod payload size is roughly constant regardless of cluster count (it's the size of ONE pod's data, not the whole environment) — cluster count already enters via 'Pods analyzed per run' above, which multiplies into every request. Still a rough placeholder: for a real number, draft an actual sample payload and run it through POST /v1/messages/count_tokens (free, exact, model-specific).</t>
  </si>
  <si>
    <t xml:space="preserve">Avg output tokens per pod-path (rough estimate) (tokens/pod)</t>
  </si>
  <si>
    <t xml:space="preserve">Output length can't be derived from payload size the same way — it's generated text. Ground this with a real pilot run's usage.output_tokens from actual API responses.</t>
  </si>
  <si>
    <t xml:space="preserve">Pod-path analyses per day</t>
  </si>
  <si>
    <t xml:space="preserve">Now scales with cluster count via 'Pods analyzed per run.'</t>
  </si>
  <si>
    <t xml:space="preserve">Pod-path analyses per month</t>
  </si>
  <si>
    <t xml:space="preserve">Total input tokens / month</t>
  </si>
  <si>
    <t xml:space="preserve">Total output tokens / month</t>
  </si>
  <si>
    <t xml:space="preserve">Claude API Pricing (Sonnet 5 default — verified platform.claude.com/docs, 2026-09-10)</t>
  </si>
  <si>
    <t xml:space="preserve">Input price ($/MTok)</t>
  </si>
  <si>
    <t xml:space="preserve">Output price ($/MTok)</t>
  </si>
  <si>
    <t xml:space="preserve">Input token cost</t>
  </si>
  <si>
    <t xml:space="preserve">Output token cost</t>
  </si>
  <si>
    <t xml:space="preserve">TOTAL CLAUDE TOKEN COST (monthly)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</si>
</sst>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#,##0"/>
    <numFmt numFmtId="166" formatCode="#,##0.00"/>
    <numFmt numFmtId="167" formatCode="#,##0.0000"/>
    <numFmt numFmtId="168" formatCode="\$#,##0.00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Arial"/>
      <family val="0"/>
      <charset val="1"/>
    </font>
    <font>
      <sz val="11"/>
      <name val="Arial"/>
      <family val="0"/>
      <charset val="1"/>
    </font>
    <font>
      <sz val="11"/>
      <color rgb="FF0000FF"/>
      <name val="Arial"/>
      <family val="0"/>
      <charset val="1"/>
    </font>
    <font>
      <i val="true"/>
      <sz val="9.5"/>
      <color rgb="FF9C5700"/>
      <name val="Arial"/>
      <family val="0"/>
      <charset val="1"/>
    </font>
    <font>
      <sz val="11"/>
      <color rgb="FF000000"/>
      <name val="Arial"/>
      <family val="0"/>
      <charset val="1"/>
    </font>
    <font>
      <i val="true"/>
      <sz val="9.5"/>
      <color rgb="FF595959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E8E85A"/>
        <bgColor rgb="FFFFD966"/>
      </patternFill>
    </fill>
    <fill>
      <patternFill patternType="solid">
        <fgColor rgb="FFFFFF00"/>
        <bgColor rgb="FFFFFF00"/>
      </patternFill>
    </fill>
    <fill>
      <patternFill patternType="solid">
        <fgColor rgb="FFFFD966"/>
        <bgColor rgb="FFE8E85A"/>
      </patternFill>
    </fill>
    <fill>
      <patternFill patternType="solid">
        <fgColor rgb="FFD9D9D9"/>
        <bgColor rgb="FFCC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5" fontId="8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6" fontId="8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8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8" fontId="6" fillId="3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8" fontId="8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4" fillId="5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E8E85A"/>
      <rgbColor rgb="FF99CCFF"/>
      <rgbColor rgb="FFFF99CC"/>
      <rgbColor rgb="FFCC99FF"/>
      <rgbColor rgb="FFFFD966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C57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C5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0"/>
    <col collapsed="false" customWidth="true" hidden="false" outlineLevel="0" max="2" min="2" style="0" width="16"/>
    <col collapsed="false" customWidth="true" hidden="false" outlineLevel="0" max="3" min="3" style="0" width="60"/>
  </cols>
  <sheetData>
    <row r="2" customFormat="false" ht="15" hidden="false" customHeight="false" outlineLevel="0" collapsed="false">
      <c r="A2" s="1"/>
      <c r="B2" s="2" t="s">
        <v>0</v>
      </c>
    </row>
    <row r="3" customFormat="false" ht="15" hidden="false" customHeight="false" outlineLevel="0" collapsed="false">
      <c r="A3" s="3" t="s">
        <v>1</v>
      </c>
      <c r="B3" s="4" t="s">
        <v>2</v>
      </c>
    </row>
    <row r="4" customFormat="false" ht="48" hidden="false" customHeight="true" outlineLevel="0" collapsed="false">
      <c r="A4" s="3" t="s">
        <v>3</v>
      </c>
      <c r="B4" s="5" t="n">
        <v>10</v>
      </c>
      <c r="C4" s="6" t="s">
        <v>4</v>
      </c>
    </row>
    <row r="5" customFormat="false" ht="15" hidden="false" customHeight="false" outlineLevel="0" collapsed="false">
      <c r="A5" s="3" t="s">
        <v>5</v>
      </c>
      <c r="B5" s="4" t="n">
        <v>5</v>
      </c>
    </row>
    <row r="6" customFormat="false" ht="15" hidden="false" customHeight="false" outlineLevel="0" collapsed="false">
      <c r="A6" s="3" t="s">
        <v>6</v>
      </c>
      <c r="B6" s="4" t="n">
        <v>40</v>
      </c>
    </row>
    <row r="7" customFormat="false" ht="15" hidden="false" customHeight="false" outlineLevel="0" collapsed="false">
      <c r="A7" s="3" t="s">
        <v>7</v>
      </c>
      <c r="B7" s="4" t="n">
        <v>40</v>
      </c>
    </row>
    <row r="9" customFormat="false" ht="15" hidden="false" customHeight="false" outlineLevel="0" collapsed="false">
      <c r="A9" s="1" t="s">
        <v>8</v>
      </c>
      <c r="B9" s="2" t="s">
        <v>0</v>
      </c>
    </row>
    <row r="10" customFormat="false" ht="15" hidden="false" customHeight="false" outlineLevel="0" collapsed="false">
      <c r="A10" s="3" t="s">
        <v>9</v>
      </c>
      <c r="B10" s="4" t="n">
        <v>20</v>
      </c>
    </row>
    <row r="11" customFormat="false" ht="15" hidden="false" customHeight="false" outlineLevel="0" collapsed="false">
      <c r="A11" s="3" t="s">
        <v>10</v>
      </c>
      <c r="B11" s="4" t="n">
        <v>16</v>
      </c>
    </row>
    <row r="12" customFormat="false" ht="15" hidden="false" customHeight="false" outlineLevel="0" collapsed="false">
      <c r="A12" s="3" t="s">
        <v>11</v>
      </c>
      <c r="B12" s="4" t="n">
        <v>15</v>
      </c>
    </row>
    <row r="13" customFormat="false" ht="15" hidden="false" customHeight="false" outlineLevel="0" collapsed="false">
      <c r="A13" s="3" t="s">
        <v>12</v>
      </c>
      <c r="B13" s="4" t="n">
        <v>2</v>
      </c>
    </row>
    <row r="14" customFormat="false" ht="33.75" hidden="false" customHeight="true" outlineLevel="0" collapsed="false">
      <c r="A14" s="3" t="s">
        <v>13</v>
      </c>
      <c r="B14" s="7" t="n">
        <f aca="false">B4*B6</f>
        <v>400</v>
      </c>
      <c r="C14" s="8" t="s">
        <v>14</v>
      </c>
    </row>
    <row r="15" customFormat="false" ht="15" hidden="false" customHeight="false" outlineLevel="0" collapsed="false">
      <c r="A15" s="3" t="s">
        <v>15</v>
      </c>
      <c r="B15" s="7" t="n">
        <f aca="false">B14*B10*B11</f>
        <v>128000</v>
      </c>
    </row>
    <row r="16" customFormat="false" ht="15" hidden="false" customHeight="false" outlineLevel="0" collapsed="false">
      <c r="A16" s="3" t="s">
        <v>16</v>
      </c>
      <c r="B16" s="9" t="n">
        <f aca="false">B15/B12</f>
        <v>8533.33333333333</v>
      </c>
    </row>
    <row r="17" customFormat="false" ht="15" hidden="false" customHeight="false" outlineLevel="0" collapsed="false">
      <c r="A17" s="3" t="s">
        <v>17</v>
      </c>
      <c r="B17" s="10" t="n">
        <f aca="false">B16*B13*86400/1000000000</f>
        <v>1.47456</v>
      </c>
    </row>
    <row r="19" customFormat="false" ht="15" hidden="false" customHeight="false" outlineLevel="0" collapsed="false">
      <c r="A19" s="1" t="s">
        <v>18</v>
      </c>
      <c r="B19" s="2" t="s">
        <v>0</v>
      </c>
    </row>
    <row r="20" customFormat="false" ht="15" hidden="false" customHeight="false" outlineLevel="0" collapsed="false">
      <c r="A20" s="3" t="s">
        <v>9</v>
      </c>
      <c r="B20" s="4" t="n">
        <v>20</v>
      </c>
    </row>
    <row r="21" customFormat="false" ht="15" hidden="false" customHeight="false" outlineLevel="0" collapsed="false">
      <c r="A21" s="3" t="s">
        <v>10</v>
      </c>
      <c r="B21" s="4" t="n">
        <v>16</v>
      </c>
    </row>
    <row r="22" customFormat="false" ht="15" hidden="false" customHeight="false" outlineLevel="0" collapsed="false">
      <c r="A22" s="3" t="s">
        <v>11</v>
      </c>
      <c r="B22" s="4" t="n">
        <v>15</v>
      </c>
    </row>
    <row r="23" customFormat="false" ht="15" hidden="false" customHeight="false" outlineLevel="0" collapsed="false">
      <c r="A23" s="3" t="s">
        <v>12</v>
      </c>
      <c r="B23" s="4" t="n">
        <v>2</v>
      </c>
    </row>
    <row r="24" customFormat="false" ht="15" hidden="false" customHeight="false" outlineLevel="0" collapsed="false">
      <c r="A24" s="3" t="s">
        <v>13</v>
      </c>
      <c r="B24" s="7" t="n">
        <f aca="false">B4*B6</f>
        <v>400</v>
      </c>
    </row>
    <row r="25" customFormat="false" ht="15" hidden="false" customHeight="false" outlineLevel="0" collapsed="false">
      <c r="A25" s="3" t="s">
        <v>15</v>
      </c>
      <c r="B25" s="7" t="n">
        <f aca="false">B24*B20*B21</f>
        <v>128000</v>
      </c>
    </row>
    <row r="26" customFormat="false" ht="15" hidden="false" customHeight="false" outlineLevel="0" collapsed="false">
      <c r="A26" s="3" t="s">
        <v>16</v>
      </c>
      <c r="B26" s="9" t="n">
        <f aca="false">B25/B22</f>
        <v>8533.33333333333</v>
      </c>
    </row>
    <row r="27" customFormat="false" ht="15" hidden="false" customHeight="false" outlineLevel="0" collapsed="false">
      <c r="A27" s="3" t="s">
        <v>17</v>
      </c>
      <c r="B27" s="10" t="n">
        <f aca="false">B26*B23*86400/1000000000</f>
        <v>1.47456</v>
      </c>
    </row>
    <row r="29" customFormat="false" ht="15" hidden="false" customHeight="false" outlineLevel="0" collapsed="false">
      <c r="A29" s="1" t="s">
        <v>19</v>
      </c>
      <c r="B29" s="2" t="s">
        <v>0</v>
      </c>
    </row>
    <row r="30" customFormat="false" ht="15" hidden="false" customHeight="false" outlineLevel="0" collapsed="false">
      <c r="A30" s="3" t="s">
        <v>20</v>
      </c>
      <c r="B30" s="10" t="n">
        <f aca="false">B17+B27</f>
        <v>2.94912</v>
      </c>
    </row>
    <row r="31" customFormat="false" ht="15" hidden="false" customHeight="false" outlineLevel="0" collapsed="false">
      <c r="A31" s="3" t="s">
        <v>21</v>
      </c>
      <c r="B31" s="7" t="n">
        <f aca="false">B30*30</f>
        <v>88.4736</v>
      </c>
    </row>
    <row r="33" customFormat="false" ht="15" hidden="false" customHeight="false" outlineLevel="0" collapsed="false">
      <c r="A33" s="1" t="s">
        <v>22</v>
      </c>
      <c r="B33" s="2" t="s">
        <v>0</v>
      </c>
    </row>
    <row r="34" customFormat="false" ht="15" hidden="false" customHeight="false" outlineLevel="0" collapsed="false">
      <c r="A34" s="3" t="s">
        <v>23</v>
      </c>
      <c r="B34" s="4" t="n">
        <v>1440</v>
      </c>
    </row>
    <row r="35" customFormat="false" ht="48" hidden="false" customHeight="true" outlineLevel="0" collapsed="false">
      <c r="A35" s="3" t="s">
        <v>24</v>
      </c>
      <c r="B35" s="7" t="n">
        <f aca="false">B4*B7</f>
        <v>400</v>
      </c>
      <c r="C35" s="8" t="s">
        <v>25</v>
      </c>
    </row>
    <row r="36" customFormat="false" ht="75.75" hidden="false" customHeight="true" outlineLevel="0" collapsed="false">
      <c r="A36" s="3" t="s">
        <v>26</v>
      </c>
      <c r="B36" s="5" t="n">
        <v>800</v>
      </c>
      <c r="C36" s="6" t="s">
        <v>27</v>
      </c>
    </row>
    <row r="37" customFormat="false" ht="33.75" hidden="false" customHeight="true" outlineLevel="0" collapsed="false">
      <c r="A37" s="3" t="s">
        <v>28</v>
      </c>
      <c r="B37" s="5" t="n">
        <v>200</v>
      </c>
      <c r="C37" s="6" t="s">
        <v>29</v>
      </c>
    </row>
    <row r="39" customFormat="false" ht="19.5" hidden="false" customHeight="true" outlineLevel="0" collapsed="false">
      <c r="A39" s="3" t="s">
        <v>30</v>
      </c>
      <c r="B39" s="7" t="n">
        <f aca="false">B34*B35</f>
        <v>576000</v>
      </c>
      <c r="C39" s="8" t="s">
        <v>31</v>
      </c>
    </row>
    <row r="40" customFormat="false" ht="15" hidden="false" customHeight="false" outlineLevel="0" collapsed="false">
      <c r="A40" s="3" t="s">
        <v>32</v>
      </c>
      <c r="B40" s="7" t="n">
        <f aca="false">B39*30</f>
        <v>17280000</v>
      </c>
    </row>
    <row r="41" customFormat="false" ht="15" hidden="false" customHeight="false" outlineLevel="0" collapsed="false">
      <c r="A41" s="3" t="s">
        <v>33</v>
      </c>
      <c r="B41" s="7" t="n">
        <f aca="false">B40*B36</f>
        <v>13824000000</v>
      </c>
    </row>
    <row r="42" customFormat="false" ht="15" hidden="false" customHeight="false" outlineLevel="0" collapsed="false">
      <c r="A42" s="3" t="s">
        <v>34</v>
      </c>
      <c r="B42" s="7" t="n">
        <f aca="false">B40*B37</f>
        <v>3456000000</v>
      </c>
    </row>
    <row r="44" customFormat="false" ht="15" hidden="false" customHeight="false" outlineLevel="0" collapsed="false">
      <c r="A44" s="1" t="s">
        <v>35</v>
      </c>
      <c r="B44" s="2" t="s">
        <v>0</v>
      </c>
    </row>
    <row r="45" customFormat="false" ht="15" hidden="false" customHeight="false" outlineLevel="0" collapsed="false">
      <c r="A45" s="3" t="s">
        <v>36</v>
      </c>
      <c r="B45" s="11" t="n">
        <v>2</v>
      </c>
    </row>
    <row r="46" customFormat="false" ht="15" hidden="false" customHeight="false" outlineLevel="0" collapsed="false">
      <c r="A46" s="3" t="s">
        <v>37</v>
      </c>
      <c r="B46" s="11" t="n">
        <v>10</v>
      </c>
    </row>
    <row r="48" customFormat="false" ht="15" hidden="false" customHeight="false" outlineLevel="0" collapsed="false">
      <c r="A48" s="3" t="s">
        <v>38</v>
      </c>
      <c r="B48" s="12" t="n">
        <f aca="false">(B41/1000000)*B45</f>
        <v>27648</v>
      </c>
    </row>
    <row r="49" customFormat="false" ht="15" hidden="false" customHeight="false" outlineLevel="0" collapsed="false">
      <c r="A49" s="3" t="s">
        <v>39</v>
      </c>
      <c r="B49" s="12" t="n">
        <f aca="false">(B42/1000000)*B46</f>
        <v>34560</v>
      </c>
    </row>
    <row r="50" customFormat="false" ht="15" hidden="false" customHeight="false" outlineLevel="0" collapsed="false">
      <c r="A50" s="13" t="s">
        <v>40</v>
      </c>
      <c r="B50" s="14" t="n">
        <f aca="false">B48+B49</f>
        <v>62208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2026-09-10T22:13:30Z</dcterms:created>
  <dc:creator>openpyxl</dc:creator>
  <dc:description/>
  <dc:language>en-US</dc:language>
  <cp:lastModifiedBy/>
  <dcterms:modified xsi:type="dcterms:W3CDTF">2026-09-10T22:13:30Z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