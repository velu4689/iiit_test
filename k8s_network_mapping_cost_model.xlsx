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Infra Costs" sheetId="4" state="visible" r:id="rId6"/>
    <sheet name="Data Throughput Costs" sheetId="5" state="visible" r:id="rId7"/>
    <sheet name="LLM Token Co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You have 10 clusters total. Per your instruction, this model is scoped to 1 cluster for now — see 'Total clusters in full environment' below for a 10x reference total on the Summary tab.</t>
        </r>
      </text>
    </comment>
    <comment ref="C6" authorId="0">
      <text>
        <r>
          <rPr>
            <sz val="10"/>
            <rFont val="Arial"/>
            <family val="2"/>
          </rPr>
          <t xml:space="preserve">Used only for the extrapolated 'full environment' row on the Summary tab — does not affect the core totals above it.</t>
        </r>
      </text>
    </comment>
    <comment ref="C9" authorId="0">
      <text>
        <r>
          <rPr>
            <sz val="10"/>
            <rFont val="Arial"/>
            <family val="2"/>
          </rPr>
          <t xml:space="preserve">Network path mapping works at pod granularity (pod-to-pod paths behind each service), so token/workload sizing below uses this figure.</t>
        </r>
      </text>
    </comment>
    <comment ref="C10" authorId="0">
      <text>
        <r>
          <rPr>
            <sz val="10"/>
            <rFont val="Arial"/>
            <family val="2"/>
          </rPr>
          <t xml:space="preserve">Placeholder. Should reflect (server purchase price ÷ useful-life hours) + power + datacenter/colo + pro-rated ops overhead. Replace with your real TCO-per-node figure.</t>
        </r>
      </text>
    </comment>
    <comment ref="C11" authorId="0">
      <text>
        <r>
          <rPr>
            <sz val="10"/>
            <rFont val="Arial"/>
            <family val="2"/>
          </rPr>
          <t xml:space="preserve">0 for vanilla self-managed kubeadm. If using a licensed distro (OpenShift, Rancher, Tanzu), enter its per-cluster fee here.</t>
        </r>
      </text>
    </comment>
    <comment ref="C16" authorId="0">
      <text>
        <r>
          <rPr>
            <sz val="10"/>
            <rFont val="Arial"/>
            <family val="2"/>
          </rPr>
          <t xml:space="preserve">Enter actual contract/license cost if Bayla and/or Carey's are commercially licensed. 0 assumes in-house/open tooling.</t>
        </r>
      </text>
    </comment>
    <comment ref="C17" authorId="0">
      <text>
        <r>
          <rPr>
            <sz val="10"/>
            <rFont val="Arial"/>
            <family val="2"/>
          </rPr>
          <t xml:space="preserve">Prometheus node-exporter and standard exporters are free/OSS — leave at 0 unless you run a paid agent.</t>
        </r>
      </text>
    </comment>
    <comment ref="C18" authorId="0">
      <text>
        <r>
          <rPr>
            <sz val="10"/>
            <rFont val="Arial"/>
            <family val="2"/>
          </rPr>
          <t xml:space="preserve">Placeholder covering the compute running the graph-builder and querying Mimir at your refresh interval (see topology refresh frequency below). Size this to the VMs/pods actually running the pipeline; it should scale up as refresh interval shortens toward 1 minute.</t>
        </r>
      </text>
    </comment>
    <comment ref="C21" authorId="0">
      <text>
        <r>
          <rPr>
            <sz val="10"/>
            <rFont val="Arial"/>
            <family val="2"/>
          </rPr>
          <t xml:space="preserve">Placeholder — pull the real figure from your Mimir ingester dashboard (active series x bytes/sample x scrape frequency), not from raw network traffic. A 10-node/40-pod cluster scraped every minute is the right order of magnitude to start from.</t>
        </r>
      </text>
    </comment>
    <comment ref="C22" authorId="0">
      <text>
        <r>
          <rPr>
            <sz val="10"/>
            <rFont val="Arial"/>
            <family val="2"/>
          </rPr>
          <t xml:space="preserve">0 for self-hosted Mimir (cost already captured in 'topology graph engine compute' above). Set &gt;0 only if using a paid managed Mimir/metrics service.</t>
        </r>
      </text>
    </comment>
    <comment ref="C23" authorId="0">
      <text>
        <r>
          <rPr>
            <sz val="10"/>
            <rFont val="Arial"/>
            <family val="2"/>
          </rPr>
          <t xml:space="preserve">On-prem storage is typically cheaper than cloud object storage list price but has upfront capex — treat this as an amortized $/GB-month.</t>
        </r>
      </text>
    </comment>
    <comment ref="C25" authorId="0">
      <text>
        <r>
          <rPr>
            <sz val="10"/>
            <rFont val="Arial"/>
            <family val="2"/>
          </rPr>
          <t xml:space="preserve">Set to 0: single cluster, single region for now. Re-enable if you replicate to a DR site or ship data off-prem (e.g., to Grafana Cloud).</t>
        </r>
      </text>
    </comment>
    <comment ref="C29" authorId="0">
      <text>
        <r>
          <rPr>
            <sz val="10"/>
            <rFont val="Arial"/>
            <family val="2"/>
          </rPr>
          <t xml:space="preserve">How often the graph/algorithmic model recomputes the topology. This drives the 'topology graph engine compute' line above — size that cost for this interval, not the LLM section below.</t>
        </r>
      </text>
    </comment>
    <comment ref="C33" authorId="0">
      <text>
        <r>
          <rPr>
            <sz val="10"/>
            <rFont val="Arial"/>
            <family val="2"/>
          </rPr>
          <t xml:space="preserve">Deliberately decoupled from the 1-minute graph refresh above to control token spend. 24 = hourly summaries/annotations. Raise or lower as needed.</t>
        </r>
      </text>
    </comment>
    <comment ref="C35" authorId="0">
      <text>
        <r>
          <rPr>
            <sz val="10"/>
            <rFont val="Arial"/>
            <family val="2"/>
          </rPr>
          <t xml:space="preserve">Context per pod: relevant NetworkPolicy/mesh config + recent Mimir/flow excerpt + prompt overhead.</t>
        </r>
      </text>
    </comment>
    <comment ref="C36" authorId="0">
      <text>
        <r>
          <rPr>
            <sz val="10"/>
            <rFont val="Arial"/>
            <family val="2"/>
          </rPr>
          <t xml:space="preserve">Model output per pod: inferred edges/paths + short explanation.</t>
        </r>
      </text>
    </comment>
  </commentList>
</comments>
</file>

<file path=xl/sharedStrings.xml><?xml version="1.0" encoding="utf-8"?>
<sst xmlns="http://schemas.openxmlformats.org/spreadsheetml/2006/main" count="173" uniqueCount="161">
  <si>
    <t xml:space="preserve">K8s Network Path Mapping — Infrastructure, Data &amp; Token Cost Calculator (On-Prem / Mimir edition)</t>
  </si>
  <si>
    <t xml:space="preserve">CHANGES FROM THE GENERIC CLOUD VERSION</t>
  </si>
  <si>
    <t xml:space="preserve">  - Environment is on-prem (not public cloud on-demand pricing).</t>
  </si>
  <si>
    <t xml:space="preserve">  - This model is scoped to ONE cluster (10 nodes, 5 services, 40 pods) for now, per your instruction.</t>
  </si>
  <si>
    <t xml:space="preserve">    Your full environment is 10 clusters — the Summary tab shows an extrapolated 10-cluster reference total.</t>
  </si>
  <si>
    <t xml:space="preserve">  - Telemetry pipeline is Prometheus (per-cluster) remote-writing to a centralized Grafana Mimir store.</t>
  </si>
  <si>
    <t xml:space="preserve">  - Network path mapping uses Bayla + Carey's (your in-house/selected tools) rather than a generic eBPF/SaaS tool.</t>
  </si>
  <si>
    <t xml:space="preserve">  - Topology is refreshed continuously — as often as every 1 minute — via the graph/algorithmic model built on</t>
  </si>
  <si>
    <t xml:space="preserve">    Bayla + Carey's + Mimir data. This refresh is NOT run through Claude (that would be needlessly expensive</t>
  </si>
  <si>
    <t xml:space="preserve">    at 1,440 runs/day). Its cost shows up as ongoing infra/compute + Mimir ingestion &amp; storage.</t>
  </si>
  <si>
    <t xml:space="preserve">  - Claude is modeled as a separate, lower-frequency REFERENCE/ANNOTATION layer on top of the graph model</t>
  </si>
  <si>
    <t xml:space="preserve">    (e.g., hourly) — producing human-readable path summaries, anomaly explanations, or documentation, not the</t>
  </si>
  <si>
    <t xml:space="preserve">    minute-by-minute graph itself. Tune its frequency on the Inputs tab independently of the graph refresh.</t>
  </si>
  <si>
    <t xml:space="preserve">HOW TO USE</t>
  </si>
  <si>
    <t xml:space="preserve">  1. Edit every YELLOW cell on 'Inputs' with your real numbers.</t>
  </si>
  <si>
    <t xml:space="preserve">  2. 'Infra Costs' / 'Data Throughput Costs' / 'LLM Token Costs' recalculate automatically (black formulas).</t>
  </si>
  <si>
    <t xml:space="preserve">  3. 'Summary' rolls everything up — single-cluster total, plus a 10-cluster extrapolation for reference.</t>
  </si>
  <si>
    <t xml:space="preserve">COLOR KEY</t>
  </si>
  <si>
    <t xml:space="preserve">  Yellow fill / blue text = your input — edit this</t>
  </si>
  <si>
    <t xml:space="preserve">  Black text              = formula — do not edit</t>
  </si>
  <si>
    <t xml:space="preserve">  Green text               = link pulled from another tab</t>
  </si>
  <si>
    <t xml:space="preserve">  Orange fill / italic     = reference/extrapolated figure, not part of the core total</t>
  </si>
  <si>
    <t xml:space="preserve">KEY PLACEHOLDERS YOU SHOULD REPLACE FIRST</t>
  </si>
  <si>
    <t xml:space="preserve">  - On-prem cost per node ($/hr equivalent): currently a rough hardware+power+datacenter placeholder.</t>
  </si>
  <si>
    <t xml:space="preserve">    Replace with your actual amortized server cost (purchase price / useful life + power + colo + support).</t>
  </si>
  <si>
    <t xml:space="preserve">  - Bayla/Carey's license and 'topology graph engine compute' cost: currently $0 / placeholder — enter your</t>
  </si>
  <si>
    <t xml:space="preserve">    real license and the compute footprint (VMs/pods) running the graph-builder and Mimir queriers.</t>
  </si>
  <si>
    <t xml:space="preserve">  - Mimir ingestion volume (GB/day): currently a placeholder. Pull the real number from your Mimir</t>
  </si>
  <si>
    <t xml:space="preserve">    'ingester' dashboard (active series × bytes/sample × scrape frequency), not from raw network traffic.</t>
  </si>
  <si>
    <t xml:space="preserve">  - Claude reference-layer frequency and token counts: adjust once you've prototyped a real prompt.</t>
  </si>
  <si>
    <t xml:space="preserve">  - Claude API pricing verified against platform.claude.com/docs/en/about-claude/pricing on 2026-09-10 —</t>
  </si>
  <si>
    <t xml:space="preserve">    re-check before finalizing a budget, since rates can change.</t>
  </si>
  <si>
    <t xml:space="preserve">NOT INCLUDED (add if relevant)</t>
  </si>
  <si>
    <t xml:space="preserve">  - Engineering/ops time to build and run Bayla/Carey's + the Mimir pipeline</t>
  </si>
  <si>
    <t xml:space="preserve">  - Mimir HA/replication overhead if you run multiple replicas for durability</t>
  </si>
  <si>
    <t xml:space="preserve">  - DR/multi-site duplication (egress is set to $0 since you're single cluster, single region for now)</t>
  </si>
  <si>
    <t xml:space="preserve">COST SUMMARY — single cluster (10 nodes / 5 services / 40 pods)</t>
  </si>
  <si>
    <t xml:space="preserve">Cost bucket</t>
  </si>
  <si>
    <t xml:space="preserve">Monthly $</t>
  </si>
  <si>
    <t xml:space="preserve">Annual $</t>
  </si>
  <si>
    <t xml:space="preserve">Infrastructure (compute + tooling + graph engine)</t>
  </si>
  <si>
    <t xml:space="preserve">Data throughput (Mimir ingest/storage/egress)</t>
  </si>
  <si>
    <t xml:space="preserve">Claude reference-layer token usage</t>
  </si>
  <si>
    <t xml:space="preserve">TOTAL (1 cluster, as modeled)</t>
  </si>
  <si>
    <t xml:space="preserve">REFERENCE: extrapolated to full 10-cluster environment</t>
  </si>
  <si>
    <t xml:space="preserve">Estimated total if scaled × total clusters</t>
  </si>
  <si>
    <t xml:space="preserve">Naive linear scaling — real 10-cluster cost will likely be lower per-cluster due to shared Mimir/graph-engine overhead and volume pricing.</t>
  </si>
  <si>
    <t xml:space="preserve">Cost per pod mapped (monthly infra+data / pods per cluster)</t>
  </si>
  <si>
    <t xml:space="preserve">Claude cost per reference run</t>
  </si>
  <si>
    <t xml:space="preserve">Reminder: directional model with placeholder rates — see README + yellow cells on Inputs.</t>
  </si>
  <si>
    <t xml:space="preserve">INPUTS — edit the yellow cells with your real numbers</t>
  </si>
  <si>
    <t xml:space="preserve">1. ENVIRONMENT SCALE (on-prem)</t>
  </si>
  <si>
    <t xml:space="preserve">Infrastructure type</t>
  </si>
  <si>
    <t xml:space="preserve">On-Prem</t>
  </si>
  <si>
    <t xml:space="preserve">On-Prem / AWS / GCP / Azure / hybrid</t>
  </si>
  <si>
    <t xml:space="preserve">Clusters included in THIS estimate</t>
  </si>
  <si>
    <t xml:space="preserve">clusters</t>
  </si>
  <si>
    <t xml:space="preserve">Total clusters in full environment (reference only)</t>
  </si>
  <si>
    <t xml:space="preserve">Nodes per cluster</t>
  </si>
  <si>
    <t xml:space="preserve">nodes/cluster</t>
  </si>
  <si>
    <t xml:space="preserve">Services per cluster</t>
  </si>
  <si>
    <t xml:space="preserve">services/cluster</t>
  </si>
  <si>
    <t xml:space="preserve">Pods per cluster (total workload instances)</t>
  </si>
  <si>
    <t xml:space="preserve">pods/cluster</t>
  </si>
  <si>
    <t xml:space="preserve">On-prem cost per node (amortized)</t>
  </si>
  <si>
    <t xml:space="preserve">$/hour equivalent</t>
  </si>
  <si>
    <t xml:space="preserve">Self-managed control-plane / distro license fee</t>
  </si>
  <si>
    <t xml:space="preserve">$/hour/cluster</t>
  </si>
  <si>
    <t xml:space="preserve">2. OBSERVABILITY / NETWORK MAPPING TOOLING</t>
  </si>
  <si>
    <t xml:space="preserve">Telemetry pipeline</t>
  </si>
  <si>
    <t xml:space="preserve">Prometheus -&gt; Mimir (centralized)</t>
  </si>
  <si>
    <t xml:space="preserve">per-cluster Prometheus remote-write to central Mimir</t>
  </si>
  <si>
    <t xml:space="preserve">Network path mapping tool(s)</t>
  </si>
  <si>
    <t xml:space="preserve">Bayla + Carey's</t>
  </si>
  <si>
    <t xml:space="preserve">your topology/path-mapping tooling</t>
  </si>
  <si>
    <t xml:space="preserve">Flat monthly license — Bayla/Carey's + add-ons</t>
  </si>
  <si>
    <t xml:space="preserve">$/month</t>
  </si>
  <si>
    <t xml:space="preserve">Per-host Prometheus/exporter agent cost</t>
  </si>
  <si>
    <t xml:space="preserve">$/host/month</t>
  </si>
  <si>
    <t xml:space="preserve">Topology graph engine compute (Bayla/Carey's build + Mimir query load)</t>
  </si>
  <si>
    <t xml:space="preserve">3. MIMIR DATA VOLUME &amp; RETENTION (on-prem, single cluster / single region)</t>
  </si>
  <si>
    <t xml:space="preserve">Metrics/telemetry volume ingested to Mimir</t>
  </si>
  <si>
    <t xml:space="preserve">GB/day</t>
  </si>
  <si>
    <t xml:space="preserve">Mimir ingestion cost</t>
  </si>
  <si>
    <t xml:space="preserve">$/GB ingested</t>
  </si>
  <si>
    <t xml:space="preserve">On-prem storage cost (local SSD/Ceph/object store)</t>
  </si>
  <si>
    <t xml:space="preserve">$/GB-month</t>
  </si>
  <si>
    <t xml:space="preserve">Retention period</t>
  </si>
  <si>
    <t xml:space="preserve">days</t>
  </si>
  <si>
    <t xml:space="preserve">Cross-AZ/region egress volume</t>
  </si>
  <si>
    <t xml:space="preserve">Egress cost</t>
  </si>
  <si>
    <t xml:space="preserve">$/GB</t>
  </si>
  <si>
    <t xml:space="preserve">4a. TOPOLOGY GRAPH MODEL — frequent, algorithmic (Bayla/Carey's + Mimir)</t>
  </si>
  <si>
    <t xml:space="preserve">Topology refresh interval</t>
  </si>
  <si>
    <t xml:space="preserve">minutes</t>
  </si>
  <si>
    <t xml:space="preserve">Refreshes per day (reference)</t>
  </si>
  <si>
    <t xml:space="preserve">refreshes/day</t>
  </si>
  <si>
    <t xml:space="preserve">4b. CLAUDE REFERENCE / ANNOTATION LAYER — lower frequency, on top of the graph model</t>
  </si>
  <si>
    <t xml:space="preserve">Claude reference-layer runs per day</t>
  </si>
  <si>
    <t xml:space="preserve">runs/day</t>
  </si>
  <si>
    <t xml:space="preserve">Pods analyzed per run (reference)</t>
  </si>
  <si>
    <t xml:space="preserve">pods/run</t>
  </si>
  <si>
    <t xml:space="preserve">Avg input tokens per pod-path</t>
  </si>
  <si>
    <t xml:space="preserve">tokens/pod</t>
  </si>
  <si>
    <t xml:space="preserve">Avg output tokens per pod-path</t>
  </si>
  <si>
    <t xml:space="preserve">Model</t>
  </si>
  <si>
    <t xml:space="preserve">Claude Sonnet 5</t>
  </si>
  <si>
    <t xml:space="preserve">Haiku 4.5 / Sonnet 5 / Opus 5 (see LLM Token Costs tab)</t>
  </si>
  <si>
    <t xml:space="preserve">Use Batch API? (Y/N)</t>
  </si>
  <si>
    <t xml:space="preserve">N</t>
  </si>
  <si>
    <t xml:space="preserve">Y = 50% off but async — fine if hourly reference summaries don't need to be instant.</t>
  </si>
  <si>
    <t xml:space="preserve">INFRASTRUCTURE COSTS (monthly, per cluster modeled)</t>
  </si>
  <si>
    <t xml:space="preserve">Item</t>
  </si>
  <si>
    <t xml:space="preserve">How it's calculated</t>
  </si>
  <si>
    <t xml:space="preserve">K8s node compute (on-prem, amortized)</t>
  </si>
  <si>
    <t xml:space="preserve">clusters modeled × nodes/cluster × $/hr-equivalent × 730 hrs/mo</t>
  </si>
  <si>
    <t xml:space="preserve">Self-managed control-plane / distro license</t>
  </si>
  <si>
    <t xml:space="preserve">clusters modeled × $/hr/cluster × 730 hrs/mo</t>
  </si>
  <si>
    <t xml:space="preserve">Bayla/Carey's + tooling license</t>
  </si>
  <si>
    <t xml:space="preserve">flat monthly license from Inputs</t>
  </si>
  <si>
    <t xml:space="preserve">Prometheus/exporter per-host agent cost</t>
  </si>
  <si>
    <t xml:space="preserve">total nodes modeled × $/host/month</t>
  </si>
  <si>
    <t xml:space="preserve">Topology graph engine compute (1-min refresh)</t>
  </si>
  <si>
    <t xml:space="preserve">flat monthly compute from Inputs, sized for your refresh interval</t>
  </si>
  <si>
    <t xml:space="preserve">TOTAL INFRASTRUCTURE (monthly)</t>
  </si>
  <si>
    <t xml:space="preserve">DATA THROUGHPUT COSTS (Mimir, monthly)</t>
  </si>
  <si>
    <t xml:space="preserve">Calculation</t>
  </si>
  <si>
    <t xml:space="preserve">Value</t>
  </si>
  <si>
    <t xml:space="preserve">Notes</t>
  </si>
  <si>
    <t xml:space="preserve">Mimir ingestion volume (monthly)</t>
  </si>
  <si>
    <t xml:space="preserve">GB/day from Inputs × 30 days</t>
  </si>
  <si>
    <t xml:space="preserve">Cost item</t>
  </si>
  <si>
    <t xml:space="preserve">Mimir ingestion</t>
  </si>
  <si>
    <t xml:space="preserve">monthly ingested GB × $/GB ingestion (0 if self-hosted)</t>
  </si>
  <si>
    <t xml:space="preserve">On-prem storage (at retention)</t>
  </si>
  <si>
    <t xml:space="preserve">daily volume × retention days × $/GB-month (avg stored footprint)</t>
  </si>
  <si>
    <t xml:space="preserve">Cross-AZ/region egress</t>
  </si>
  <si>
    <t xml:space="preserve">GB/day × 30 days × $/GB egress — $0 for single cluster/single region</t>
  </si>
  <si>
    <t xml:space="preserve">TOTAL DATA THROUGHPUT (monthly)</t>
  </si>
  <si>
    <t xml:space="preserve">CLAUDE REFERENCE-LAYER TOKEN COSTS (monthly)</t>
  </si>
  <si>
    <t xml:space="preserve">Claude is a separate, lower-frequency reference/annotation layer on top of the 1-min Bayla/Carey's graph model — NOT run every minute.</t>
  </si>
  <si>
    <t xml:space="preserve">Claude API pricing reference — verified platform.claude.com/docs/en/about-claude/pricing, 2026-09-10 (re-check before finalizing budget)</t>
  </si>
  <si>
    <t xml:space="preserve">Input $/MTok</t>
  </si>
  <si>
    <t xml:space="preserve">Output $/MTok</t>
  </si>
  <si>
    <t xml:space="preserve">Batch Input $/MTok</t>
  </si>
  <si>
    <t xml:space="preserve">Batch Output $/MTok</t>
  </si>
  <si>
    <t xml:space="preserve">Claude Haiku 4.5</t>
  </si>
  <si>
    <t xml:space="preserve">Claude Opus 5</t>
  </si>
  <si>
    <t xml:space="preserve">Note: model chosen on Inputs tab must match a name in this table exactly.</t>
  </si>
  <si>
    <t xml:space="preserve">Workload calculation</t>
  </si>
  <si>
    <t xml:space="preserve">Pod-path analyses per day</t>
  </si>
  <si>
    <t xml:space="preserve">Pod-path analyses per month</t>
  </si>
  <si>
    <t xml:space="preserve">Total input tokens / month</t>
  </si>
  <si>
    <t xml:space="preserve">Total output tokens / month</t>
  </si>
  <si>
    <t xml:space="preserve">Selected model (from Inputs)</t>
  </si>
  <si>
    <t xml:space="preserve">Batch API? (from Inputs)</t>
  </si>
  <si>
    <t xml:space="preserve">Effective input price ($/MTok)</t>
  </si>
  <si>
    <t xml:space="preserve">Effective output price ($/MTok)</t>
  </si>
  <si>
    <t xml:space="preserve">Input token cost</t>
  </si>
  <si>
    <t xml:space="preserve">Output token cost</t>
  </si>
  <si>
    <t xml:space="preserve">TOTAL LLM TOKEN COST (monthly)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</si>
</sst>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\$#,##0.00;&quot;($&quot;#,##0.00\);\-"/>
    <numFmt numFmtId="167" formatCode="General"/>
    <numFmt numFmtId="168" formatCode="#,##0&quot; GB/mo&quot;"/>
    <numFmt numFmtId="169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.5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D9D9D9"/>
        <bgColor rgb="FFD9E2F3"/>
      </patternFill>
    </fill>
    <fill>
      <patternFill patternType="solid">
        <fgColor rgb="FFFBE5D6"/>
        <bgColor rgb="FFF9F9F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Cost by Bucket (1 cluster)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</c:f>
              <c:strCache>
                <c:ptCount val="1"/>
                <c:pt idx="0">
                  <c:v>Monthly $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Summary!$B$4:$B$6</c:f>
              <c:strCache>
                <c:ptCount val="3"/>
                <c:pt idx="0">
                  <c:v>Infrastructure (compute + tooling + graph engine)</c:v>
                </c:pt>
                <c:pt idx="1">
                  <c:v>Data throughput (Mimir ingest/storage/egress)</c:v>
                </c:pt>
                <c:pt idx="2">
                  <c:v>Claude reference-layer token usage</c:v>
                </c:pt>
              </c:strCache>
            </c:strRef>
          </c:cat>
          <c:val>
            <c:numRef>
              <c:f>Summary!$C$4:$C$6</c:f>
              <c:numCache>
                <c:formatCode>\$#,##0;"($"#,##0\);\-</c:formatCode>
                <c:ptCount val="3"/>
                <c:pt idx="0">
                  <c:v>1695</c:v>
                </c:pt>
                <c:pt idx="1">
                  <c:v>45</c:v>
                </c:pt>
                <c:pt idx="2">
                  <c:v>103.68</c:v>
                </c:pt>
              </c:numCache>
            </c:numRef>
          </c:val>
        </c:ser>
        <c:gapWidth val="150"/>
        <c:overlap val="0"/>
        <c:axId val="54534158"/>
        <c:axId val="13135026"/>
      </c:barChart>
      <c:catAx>
        <c:axId val="545341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35026"/>
        <c:crosses val="autoZero"/>
        <c:auto val="1"/>
        <c:lblAlgn val="ctr"/>
        <c:lblOffset val="100"/>
        <c:noMultiLvlLbl val="0"/>
      </c:catAx>
      <c:valAx>
        <c:axId val="13135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41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69480</xdr:colOff>
      <xdr:row>17</xdr:row>
      <xdr:rowOff>157320</xdr:rowOff>
    </xdr:to>
    <xdr:graphicFrame>
      <xdr:nvGraphicFramePr>
        <xdr:cNvPr id="0" name="Chart 1"/>
        <xdr:cNvGraphicFramePr/>
      </xdr:nvGraphicFramePr>
      <xdr:xfrm>
        <a:off x="5709240" y="466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5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 t="s">
        <v>34</v>
      </c>
    </row>
    <row r="41" customFormat="false" ht="15" hidden="false" customHeight="false" outlineLevel="0" collapsed="false">
      <c r="A41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"/>
    <col collapsed="false" customWidth="true" hidden="false" outlineLevel="0" max="6" min="6" style="0" width="20"/>
  </cols>
  <sheetData>
    <row r="1" customFormat="false" ht="21.75" hidden="false" customHeight="true" outlineLevel="0" collapsed="false">
      <c r="B1" s="4" t="s">
        <v>36</v>
      </c>
      <c r="C1" s="4"/>
      <c r="D1" s="4"/>
    </row>
    <row r="3" customFormat="false" ht="15" hidden="false" customHeight="false" outlineLevel="0" collapsed="false">
      <c r="B3" s="5" t="s">
        <v>37</v>
      </c>
      <c r="C3" s="5" t="s">
        <v>38</v>
      </c>
      <c r="D3" s="5" t="s">
        <v>39</v>
      </c>
    </row>
    <row r="4" customFormat="false" ht="23.85" hidden="false" customHeight="false" outlineLevel="0" collapsed="false">
      <c r="B4" s="6" t="s">
        <v>40</v>
      </c>
      <c r="C4" s="7" t="n">
        <f aca="false">'Infra Costs'!C10</f>
        <v>1695</v>
      </c>
      <c r="D4" s="8" t="n">
        <f aca="false">C4*12</f>
        <v>20340</v>
      </c>
    </row>
    <row r="5" customFormat="false" ht="15" hidden="false" customHeight="false" outlineLevel="0" collapsed="false">
      <c r="B5" s="6" t="s">
        <v>41</v>
      </c>
      <c r="C5" s="7" t="n">
        <f aca="false">'Data Throughput Costs'!C11</f>
        <v>45</v>
      </c>
      <c r="D5" s="8" t="n">
        <f aca="false">C5*12</f>
        <v>540</v>
      </c>
    </row>
    <row r="6" customFormat="false" ht="15" hidden="false" customHeight="false" outlineLevel="0" collapsed="false">
      <c r="B6" s="6" t="s">
        <v>42</v>
      </c>
      <c r="C6" s="7" t="n">
        <f aca="false">'LLM Token Costs'!C27</f>
        <v>103.68</v>
      </c>
      <c r="D6" s="8" t="n">
        <f aca="false">C6*12</f>
        <v>1244.16</v>
      </c>
    </row>
    <row r="8" customFormat="false" ht="15" hidden="false" customHeight="false" outlineLevel="0" collapsed="false">
      <c r="B8" s="9" t="s">
        <v>43</v>
      </c>
      <c r="C8" s="10" t="n">
        <f aca="false">SUM(C4:C6)</f>
        <v>1843.68</v>
      </c>
      <c r="D8" s="10" t="n">
        <f aca="false">SUM(D4:D6)</f>
        <v>22124.16</v>
      </c>
    </row>
    <row r="10" customFormat="false" ht="15" hidden="false" customHeight="false" outlineLevel="0" collapsed="false">
      <c r="B10" s="11" t="s">
        <v>44</v>
      </c>
      <c r="C10" s="11"/>
      <c r="D10" s="11"/>
    </row>
    <row r="11" customFormat="false" ht="15" hidden="false" customHeight="false" outlineLevel="0" collapsed="false">
      <c r="B11" s="12" t="s">
        <v>45</v>
      </c>
      <c r="C11" s="13" t="n">
        <f aca="false">C8*Inputs!C6/Inputs!C5</f>
        <v>18436.8</v>
      </c>
      <c r="D11" s="13" t="n">
        <f aca="false">C11*12</f>
        <v>221241.6</v>
      </c>
    </row>
    <row r="12" customFormat="false" ht="15" hidden="false" customHeight="false" outlineLevel="0" collapsed="false">
      <c r="B12" s="14" t="s">
        <v>46</v>
      </c>
      <c r="C12" s="14"/>
      <c r="D12" s="14"/>
    </row>
    <row r="14" customFormat="false" ht="23.85" hidden="false" customHeight="false" outlineLevel="0" collapsed="false">
      <c r="B14" s="6" t="s">
        <v>47</v>
      </c>
      <c r="C14" s="15" t="n">
        <f aca="false">(C4+C5)/Inputs!C9</f>
        <v>43.5</v>
      </c>
    </row>
    <row r="15" customFormat="false" ht="15" hidden="false" customHeight="false" outlineLevel="0" collapsed="false">
      <c r="B15" s="6" t="s">
        <v>48</v>
      </c>
      <c r="C15" s="15" t="n">
        <f aca="false">C6/(Inputs!C33*30)</f>
        <v>0.144</v>
      </c>
    </row>
    <row r="17" customFormat="false" ht="15" hidden="false" customHeight="false" outlineLevel="0" collapsed="false">
      <c r="B17" s="14" t="s">
        <v>49</v>
      </c>
      <c r="C17" s="14"/>
      <c r="D17" s="14"/>
    </row>
  </sheetData>
  <mergeCells count="4">
    <mergeCell ref="B1:D1"/>
    <mergeCell ref="B10:D10"/>
    <mergeCell ref="B12:D12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21.75" hidden="false" customHeight="true" outlineLevel="0" collapsed="false">
      <c r="B1" s="4" t="s">
        <v>50</v>
      </c>
      <c r="C1" s="4"/>
      <c r="D1" s="4"/>
    </row>
    <row r="3" customFormat="false" ht="15" hidden="false" customHeight="false" outlineLevel="0" collapsed="false">
      <c r="B3" s="11" t="s">
        <v>51</v>
      </c>
      <c r="C3" s="11"/>
      <c r="D3" s="11"/>
    </row>
    <row r="4" customFormat="false" ht="15" hidden="false" customHeight="false" outlineLevel="0" collapsed="false">
      <c r="B4" s="6" t="s">
        <v>52</v>
      </c>
      <c r="C4" s="16" t="s">
        <v>53</v>
      </c>
      <c r="D4" s="6" t="s">
        <v>54</v>
      </c>
    </row>
    <row r="5" customFormat="false" ht="15" hidden="false" customHeight="false" outlineLevel="0" collapsed="false">
      <c r="B5" s="6" t="s">
        <v>55</v>
      </c>
      <c r="C5" s="16" t="n">
        <v>1</v>
      </c>
      <c r="D5" s="6" t="s">
        <v>56</v>
      </c>
    </row>
    <row r="6" customFormat="false" ht="15" hidden="false" customHeight="false" outlineLevel="0" collapsed="false">
      <c r="B6" s="6" t="s">
        <v>57</v>
      </c>
      <c r="C6" s="16" t="n">
        <v>10</v>
      </c>
      <c r="D6" s="6" t="s">
        <v>56</v>
      </c>
    </row>
    <row r="7" customFormat="false" ht="15" hidden="false" customHeight="false" outlineLevel="0" collapsed="false">
      <c r="B7" s="6" t="s">
        <v>58</v>
      </c>
      <c r="C7" s="16" t="n">
        <v>10</v>
      </c>
      <c r="D7" s="6" t="s">
        <v>59</v>
      </c>
    </row>
    <row r="8" customFormat="false" ht="15" hidden="false" customHeight="false" outlineLevel="0" collapsed="false">
      <c r="B8" s="6" t="s">
        <v>60</v>
      </c>
      <c r="C8" s="16" t="n">
        <v>5</v>
      </c>
      <c r="D8" s="6" t="s">
        <v>61</v>
      </c>
    </row>
    <row r="9" customFormat="false" ht="15" hidden="false" customHeight="false" outlineLevel="0" collapsed="false">
      <c r="B9" s="6" t="s">
        <v>62</v>
      </c>
      <c r="C9" s="16" t="n">
        <v>40</v>
      </c>
      <c r="D9" s="6" t="s">
        <v>63</v>
      </c>
    </row>
    <row r="10" customFormat="false" ht="15" hidden="false" customHeight="false" outlineLevel="0" collapsed="false">
      <c r="B10" s="6" t="s">
        <v>64</v>
      </c>
      <c r="C10" s="16" t="n">
        <v>0.15</v>
      </c>
      <c r="D10" s="6" t="s">
        <v>65</v>
      </c>
    </row>
    <row r="11" customFormat="false" ht="15" hidden="false" customHeight="false" outlineLevel="0" collapsed="false">
      <c r="B11" s="6" t="s">
        <v>66</v>
      </c>
      <c r="C11" s="16" t="n">
        <v>0</v>
      </c>
      <c r="D11" s="6" t="s">
        <v>67</v>
      </c>
    </row>
    <row r="13" customFormat="false" ht="15" hidden="false" customHeight="false" outlineLevel="0" collapsed="false">
      <c r="B13" s="11" t="s">
        <v>68</v>
      </c>
      <c r="C13" s="11"/>
      <c r="D13" s="11"/>
    </row>
    <row r="14" customFormat="false" ht="15" hidden="false" customHeight="false" outlineLevel="0" collapsed="false">
      <c r="B14" s="6" t="s">
        <v>69</v>
      </c>
      <c r="C14" s="16" t="s">
        <v>70</v>
      </c>
      <c r="D14" s="6" t="s">
        <v>71</v>
      </c>
    </row>
    <row r="15" customFormat="false" ht="15" hidden="false" customHeight="false" outlineLevel="0" collapsed="false">
      <c r="B15" s="6" t="s">
        <v>72</v>
      </c>
      <c r="C15" s="16" t="s">
        <v>73</v>
      </c>
      <c r="D15" s="6" t="s">
        <v>74</v>
      </c>
    </row>
    <row r="16" customFormat="false" ht="15" hidden="false" customHeight="false" outlineLevel="0" collapsed="false">
      <c r="B16" s="6" t="s">
        <v>75</v>
      </c>
      <c r="C16" s="16" t="n">
        <v>0</v>
      </c>
      <c r="D16" s="6" t="s">
        <v>76</v>
      </c>
    </row>
    <row r="17" customFormat="false" ht="15" hidden="false" customHeight="false" outlineLevel="0" collapsed="false">
      <c r="B17" s="6" t="s">
        <v>77</v>
      </c>
      <c r="C17" s="16" t="n">
        <v>0</v>
      </c>
      <c r="D17" s="6" t="s">
        <v>78</v>
      </c>
    </row>
    <row r="18" customFormat="false" ht="23.85" hidden="false" customHeight="false" outlineLevel="0" collapsed="false">
      <c r="B18" s="6" t="s">
        <v>79</v>
      </c>
      <c r="C18" s="16" t="n">
        <v>600</v>
      </c>
      <c r="D18" s="6" t="s">
        <v>76</v>
      </c>
    </row>
    <row r="20" customFormat="false" ht="15" hidden="false" customHeight="false" outlineLevel="0" collapsed="false">
      <c r="B20" s="11" t="s">
        <v>80</v>
      </c>
      <c r="C20" s="11"/>
      <c r="D20" s="11"/>
    </row>
    <row r="21" customFormat="false" ht="15" hidden="false" customHeight="false" outlineLevel="0" collapsed="false">
      <c r="B21" s="6" t="s">
        <v>81</v>
      </c>
      <c r="C21" s="16" t="n">
        <v>50</v>
      </c>
      <c r="D21" s="6" t="s">
        <v>82</v>
      </c>
    </row>
    <row r="22" customFormat="false" ht="15" hidden="false" customHeight="false" outlineLevel="0" collapsed="false">
      <c r="B22" s="6" t="s">
        <v>83</v>
      </c>
      <c r="C22" s="16" t="n">
        <v>0</v>
      </c>
      <c r="D22" s="6" t="s">
        <v>84</v>
      </c>
    </row>
    <row r="23" customFormat="false" ht="15" hidden="false" customHeight="false" outlineLevel="0" collapsed="false">
      <c r="B23" s="6" t="s">
        <v>85</v>
      </c>
      <c r="C23" s="16" t="n">
        <v>0.03</v>
      </c>
      <c r="D23" s="6" t="s">
        <v>86</v>
      </c>
    </row>
    <row r="24" customFormat="false" ht="15" hidden="false" customHeight="false" outlineLevel="0" collapsed="false">
      <c r="B24" s="6" t="s">
        <v>87</v>
      </c>
      <c r="C24" s="16" t="n">
        <v>30</v>
      </c>
      <c r="D24" s="6" t="s">
        <v>88</v>
      </c>
    </row>
    <row r="25" customFormat="false" ht="15" hidden="false" customHeight="false" outlineLevel="0" collapsed="false">
      <c r="B25" s="6" t="s">
        <v>89</v>
      </c>
      <c r="C25" s="16" t="n">
        <v>0</v>
      </c>
      <c r="D25" s="6" t="s">
        <v>82</v>
      </c>
    </row>
    <row r="26" customFormat="false" ht="15" hidden="false" customHeight="false" outlineLevel="0" collapsed="false">
      <c r="B26" s="6" t="s">
        <v>90</v>
      </c>
      <c r="C26" s="16" t="n">
        <v>0</v>
      </c>
      <c r="D26" s="6" t="s">
        <v>91</v>
      </c>
    </row>
    <row r="28" customFormat="false" ht="15" hidden="false" customHeight="false" outlineLevel="0" collapsed="false">
      <c r="B28" s="11" t="s">
        <v>92</v>
      </c>
      <c r="C28" s="11"/>
      <c r="D28" s="11"/>
    </row>
    <row r="29" customFormat="false" ht="15" hidden="false" customHeight="false" outlineLevel="0" collapsed="false">
      <c r="B29" s="6" t="s">
        <v>93</v>
      </c>
      <c r="C29" s="16" t="n">
        <v>1</v>
      </c>
      <c r="D29" s="6" t="s">
        <v>94</v>
      </c>
    </row>
    <row r="30" customFormat="false" ht="15" hidden="false" customHeight="false" outlineLevel="0" collapsed="false">
      <c r="B30" s="6" t="s">
        <v>95</v>
      </c>
      <c r="C30" s="17" t="n">
        <f aca="false">1440/C29</f>
        <v>1440</v>
      </c>
      <c r="D30" s="6" t="s">
        <v>96</v>
      </c>
    </row>
    <row r="32" customFormat="false" ht="15" hidden="false" customHeight="false" outlineLevel="0" collapsed="false">
      <c r="B32" s="11" t="s">
        <v>97</v>
      </c>
      <c r="C32" s="11"/>
      <c r="D32" s="11"/>
    </row>
    <row r="33" customFormat="false" ht="15" hidden="false" customHeight="false" outlineLevel="0" collapsed="false">
      <c r="B33" s="6" t="s">
        <v>98</v>
      </c>
      <c r="C33" s="16" t="n">
        <v>24</v>
      </c>
      <c r="D33" s="6" t="s">
        <v>99</v>
      </c>
    </row>
    <row r="34" customFormat="false" ht="15" hidden="false" customHeight="false" outlineLevel="0" collapsed="false">
      <c r="B34" s="6" t="s">
        <v>100</v>
      </c>
      <c r="C34" s="17" t="n">
        <f aca="false">C9</f>
        <v>40</v>
      </c>
      <c r="D34" s="6" t="s">
        <v>101</v>
      </c>
    </row>
    <row r="35" customFormat="false" ht="15" hidden="false" customHeight="false" outlineLevel="0" collapsed="false">
      <c r="B35" s="6" t="s">
        <v>102</v>
      </c>
      <c r="C35" s="16" t="n">
        <v>800</v>
      </c>
      <c r="D35" s="6" t="s">
        <v>103</v>
      </c>
    </row>
    <row r="36" customFormat="false" ht="15" hidden="false" customHeight="false" outlineLevel="0" collapsed="false">
      <c r="B36" s="6" t="s">
        <v>104</v>
      </c>
      <c r="C36" s="16" t="n">
        <v>200</v>
      </c>
      <c r="D36" s="6" t="s">
        <v>103</v>
      </c>
    </row>
    <row r="37" customFormat="false" ht="23.85" hidden="false" customHeight="false" outlineLevel="0" collapsed="false">
      <c r="B37" s="6" t="s">
        <v>105</v>
      </c>
      <c r="C37" s="16" t="s">
        <v>106</v>
      </c>
      <c r="D37" s="6" t="s">
        <v>107</v>
      </c>
    </row>
    <row r="38" customFormat="false" ht="23.85" hidden="false" customHeight="false" outlineLevel="0" collapsed="false">
      <c r="B38" s="6" t="s">
        <v>108</v>
      </c>
      <c r="C38" s="16" t="s">
        <v>109</v>
      </c>
      <c r="D38" s="6" t="s">
        <v>110</v>
      </c>
    </row>
  </sheetData>
  <mergeCells count="6">
    <mergeCell ref="B1:D1"/>
    <mergeCell ref="B3:D3"/>
    <mergeCell ref="B13:D13"/>
    <mergeCell ref="B20:D20"/>
    <mergeCell ref="B28:D28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21.75" hidden="false" customHeight="true" outlineLevel="0" collapsed="false">
      <c r="B1" s="4" t="s">
        <v>111</v>
      </c>
      <c r="C1" s="4"/>
      <c r="D1" s="4"/>
    </row>
    <row r="3" customFormat="false" ht="15" hidden="false" customHeight="false" outlineLevel="0" collapsed="false">
      <c r="B3" s="5" t="s">
        <v>112</v>
      </c>
      <c r="C3" s="5" t="s">
        <v>38</v>
      </c>
      <c r="D3" s="5" t="s">
        <v>113</v>
      </c>
    </row>
    <row r="4" customFormat="false" ht="23.85" hidden="false" customHeight="false" outlineLevel="0" collapsed="false">
      <c r="B4" s="6" t="s">
        <v>114</v>
      </c>
      <c r="C4" s="8" t="n">
        <f aca="false">Inputs!C5*Inputs!C7*Inputs!C10*730</f>
        <v>1095</v>
      </c>
      <c r="D4" s="6" t="s">
        <v>115</v>
      </c>
    </row>
    <row r="5" customFormat="false" ht="15" hidden="false" customHeight="false" outlineLevel="0" collapsed="false">
      <c r="B5" s="6" t="s">
        <v>116</v>
      </c>
      <c r="C5" s="8" t="n">
        <f aca="false">Inputs!C5*Inputs!C11*730</f>
        <v>0</v>
      </c>
      <c r="D5" s="6" t="s">
        <v>117</v>
      </c>
    </row>
    <row r="6" customFormat="false" ht="15" hidden="false" customHeight="false" outlineLevel="0" collapsed="false">
      <c r="B6" s="6" t="s">
        <v>118</v>
      </c>
      <c r="C6" s="7" t="n">
        <f aca="false">Inputs!C16</f>
        <v>0</v>
      </c>
      <c r="D6" s="6" t="s">
        <v>119</v>
      </c>
    </row>
    <row r="7" customFormat="false" ht="15" hidden="false" customHeight="false" outlineLevel="0" collapsed="false">
      <c r="B7" s="6" t="s">
        <v>120</v>
      </c>
      <c r="C7" s="8" t="n">
        <f aca="false">Inputs!C5*Inputs!C7*Inputs!C17</f>
        <v>0</v>
      </c>
      <c r="D7" s="6" t="s">
        <v>121</v>
      </c>
    </row>
    <row r="8" customFormat="false" ht="23.85" hidden="false" customHeight="false" outlineLevel="0" collapsed="false">
      <c r="B8" s="6" t="s">
        <v>122</v>
      </c>
      <c r="C8" s="7" t="n">
        <f aca="false">Inputs!C18</f>
        <v>600</v>
      </c>
      <c r="D8" s="6" t="s">
        <v>123</v>
      </c>
    </row>
    <row r="10" customFormat="false" ht="15" hidden="false" customHeight="false" outlineLevel="0" collapsed="false">
      <c r="B10" s="9" t="s">
        <v>124</v>
      </c>
      <c r="C10" s="10" t="n">
        <f aca="false">SUM(C4:C8)</f>
        <v>1695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48"/>
  </cols>
  <sheetData>
    <row r="1" customFormat="false" ht="21.75" hidden="false" customHeight="true" outlineLevel="0" collapsed="false">
      <c r="B1" s="4" t="s">
        <v>125</v>
      </c>
      <c r="C1" s="4"/>
      <c r="D1" s="4"/>
    </row>
    <row r="3" customFormat="false" ht="15" hidden="false" customHeight="false" outlineLevel="0" collapsed="false">
      <c r="B3" s="5" t="s">
        <v>126</v>
      </c>
      <c r="C3" s="5" t="s">
        <v>127</v>
      </c>
      <c r="D3" s="5" t="s">
        <v>128</v>
      </c>
    </row>
    <row r="4" customFormat="false" ht="15" hidden="false" customHeight="false" outlineLevel="0" collapsed="false">
      <c r="B4" s="6" t="s">
        <v>129</v>
      </c>
      <c r="C4" s="18" t="n">
        <f aca="false">Inputs!C21*30</f>
        <v>1500</v>
      </c>
      <c r="D4" s="6" t="s">
        <v>130</v>
      </c>
    </row>
    <row r="6" customFormat="false" ht="15" hidden="false" customHeight="false" outlineLevel="0" collapsed="false">
      <c r="B6" s="5" t="s">
        <v>131</v>
      </c>
      <c r="C6" s="5" t="s">
        <v>38</v>
      </c>
      <c r="D6" s="5" t="s">
        <v>113</v>
      </c>
    </row>
    <row r="7" customFormat="false" ht="15" hidden="false" customHeight="false" outlineLevel="0" collapsed="false">
      <c r="B7" s="6" t="s">
        <v>132</v>
      </c>
      <c r="C7" s="8" t="n">
        <f aca="false">C4*Inputs!C22</f>
        <v>0</v>
      </c>
      <c r="D7" s="6" t="s">
        <v>133</v>
      </c>
    </row>
    <row r="8" customFormat="false" ht="23.85" hidden="false" customHeight="false" outlineLevel="0" collapsed="false">
      <c r="B8" s="6" t="s">
        <v>134</v>
      </c>
      <c r="C8" s="8" t="n">
        <f aca="false">Inputs!C21*Inputs!C24*Inputs!C23</f>
        <v>45</v>
      </c>
      <c r="D8" s="6" t="s">
        <v>135</v>
      </c>
    </row>
    <row r="9" customFormat="false" ht="23.85" hidden="false" customHeight="false" outlineLevel="0" collapsed="false">
      <c r="B9" s="6" t="s">
        <v>136</v>
      </c>
      <c r="C9" s="8" t="n">
        <f aca="false">Inputs!C25*30*Inputs!C26</f>
        <v>0</v>
      </c>
      <c r="D9" s="6" t="s">
        <v>137</v>
      </c>
    </row>
    <row r="11" customFormat="false" ht="15" hidden="false" customHeight="false" outlineLevel="0" collapsed="false">
      <c r="B11" s="9" t="s">
        <v>138</v>
      </c>
      <c r="C11" s="10" t="n">
        <f aca="false">SUM(C7:C9)</f>
        <v>45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6"/>
    <col collapsed="false" customWidth="true" hidden="false" outlineLevel="0" max="7" min="7" style="0" width="44"/>
  </cols>
  <sheetData>
    <row r="1" customFormat="false" ht="21.75" hidden="false" customHeight="true" outlineLevel="0" collapsed="false">
      <c r="B1" s="4" t="s">
        <v>139</v>
      </c>
      <c r="C1" s="4"/>
      <c r="D1" s="4"/>
      <c r="E1" s="4"/>
      <c r="F1" s="4"/>
      <c r="G1" s="4"/>
    </row>
    <row r="3" customFormat="false" ht="15" hidden="false" customHeight="false" outlineLevel="0" collapsed="false">
      <c r="B3" s="19" t="s">
        <v>140</v>
      </c>
      <c r="C3" s="19"/>
      <c r="D3" s="19"/>
      <c r="E3" s="19"/>
      <c r="F3" s="19"/>
      <c r="G3" s="19"/>
    </row>
    <row r="4" customFormat="false" ht="15" hidden="false" customHeight="false" outlineLevel="0" collapsed="false">
      <c r="B4" s="11" t="s">
        <v>141</v>
      </c>
      <c r="C4" s="11"/>
      <c r="D4" s="11"/>
      <c r="E4" s="11"/>
      <c r="F4" s="11"/>
      <c r="G4" s="11"/>
    </row>
    <row r="5" customFormat="false" ht="15" hidden="false" customHeight="false" outlineLevel="0" collapsed="false">
      <c r="B5" s="5" t="s">
        <v>105</v>
      </c>
      <c r="C5" s="5" t="s">
        <v>142</v>
      </c>
      <c r="D5" s="5" t="s">
        <v>143</v>
      </c>
      <c r="E5" s="5" t="s">
        <v>144</v>
      </c>
      <c r="F5" s="5" t="s">
        <v>145</v>
      </c>
      <c r="G5" s="5"/>
    </row>
    <row r="6" customFormat="false" ht="15" hidden="false" customHeight="false" outlineLevel="0" collapsed="false">
      <c r="B6" s="20" t="s">
        <v>146</v>
      </c>
      <c r="C6" s="21" t="n">
        <v>1</v>
      </c>
      <c r="D6" s="21" t="n">
        <v>5</v>
      </c>
      <c r="E6" s="21" t="n">
        <v>0.5</v>
      </c>
      <c r="F6" s="21" t="n">
        <v>2.5</v>
      </c>
    </row>
    <row r="7" customFormat="false" ht="15" hidden="false" customHeight="false" outlineLevel="0" collapsed="false">
      <c r="B7" s="20" t="s">
        <v>106</v>
      </c>
      <c r="C7" s="21" t="n">
        <v>2</v>
      </c>
      <c r="D7" s="21" t="n">
        <v>10</v>
      </c>
      <c r="E7" s="21" t="n">
        <v>1</v>
      </c>
      <c r="F7" s="21" t="n">
        <v>5</v>
      </c>
    </row>
    <row r="8" customFormat="false" ht="15" hidden="false" customHeight="false" outlineLevel="0" collapsed="false">
      <c r="B8" s="20" t="s">
        <v>147</v>
      </c>
      <c r="C8" s="21" t="n">
        <v>5</v>
      </c>
      <c r="D8" s="21" t="n">
        <v>25</v>
      </c>
      <c r="E8" s="21" t="n">
        <v>2.5</v>
      </c>
      <c r="F8" s="21" t="n">
        <v>12.5</v>
      </c>
    </row>
    <row r="10" customFormat="false" ht="15" hidden="false" customHeight="false" outlineLevel="0" collapsed="false">
      <c r="B10" s="22" t="s">
        <v>148</v>
      </c>
    </row>
    <row r="12" customFormat="false" ht="15" hidden="false" customHeight="false" outlineLevel="0" collapsed="false">
      <c r="B12" s="5" t="s">
        <v>149</v>
      </c>
      <c r="C12" s="5" t="s">
        <v>127</v>
      </c>
    </row>
    <row r="13" customFormat="false" ht="15" hidden="false" customHeight="false" outlineLevel="0" collapsed="false">
      <c r="B13" s="6" t="s">
        <v>150</v>
      </c>
      <c r="C13" s="23" t="n">
        <f aca="false">Inputs!C33*Inputs!C34</f>
        <v>960</v>
      </c>
    </row>
    <row r="14" customFormat="false" ht="15" hidden="false" customHeight="false" outlineLevel="0" collapsed="false">
      <c r="B14" s="6" t="s">
        <v>151</v>
      </c>
      <c r="C14" s="23" t="n">
        <f aca="false">C13*30</f>
        <v>28800</v>
      </c>
    </row>
    <row r="15" customFormat="false" ht="15" hidden="false" customHeight="false" outlineLevel="0" collapsed="false">
      <c r="B15" s="6" t="s">
        <v>152</v>
      </c>
      <c r="C15" s="23" t="n">
        <f aca="false">C14*Inputs!C35</f>
        <v>23040000</v>
      </c>
    </row>
    <row r="16" customFormat="false" ht="15" hidden="false" customHeight="false" outlineLevel="0" collapsed="false">
      <c r="B16" s="6" t="s">
        <v>153</v>
      </c>
      <c r="C16" s="23" t="n">
        <f aca="false">C14*Inputs!C36</f>
        <v>5760000</v>
      </c>
    </row>
    <row r="18" customFormat="false" ht="15" hidden="false" customHeight="false" outlineLevel="0" collapsed="false">
      <c r="B18" s="6" t="s">
        <v>154</v>
      </c>
      <c r="C18" s="24" t="str">
        <f aca="false">Inputs!C37</f>
        <v>Claude Sonnet 5</v>
      </c>
    </row>
    <row r="19" customFormat="false" ht="15" hidden="false" customHeight="false" outlineLevel="0" collapsed="false">
      <c r="B19" s="6" t="s">
        <v>155</v>
      </c>
      <c r="C19" s="24" t="str">
        <f aca="false">Inputs!C38</f>
        <v>N</v>
      </c>
    </row>
    <row r="20" customFormat="false" ht="15" hidden="false" customHeight="false" outlineLevel="0" collapsed="false">
      <c r="B20" s="6" t="s">
        <v>156</v>
      </c>
      <c r="C20" s="15" t="n">
        <f aca="false">IF(C19="Y",INDEX(E6:E8,MATCH(C18,B6:B8,0)),INDEX(C6:C8,MATCH(C18,B6:B8,0)))</f>
        <v>2</v>
      </c>
    </row>
    <row r="21" customFormat="false" ht="15" hidden="false" customHeight="false" outlineLevel="0" collapsed="false">
      <c r="B21" s="6" t="s">
        <v>157</v>
      </c>
      <c r="C21" s="15" t="n">
        <f aca="false">IF(C19="Y",INDEX(F6:F8,MATCH(C18,B6:B8,0)),INDEX(D6:D8,MATCH(C18,B6:B8,0)))</f>
        <v>10</v>
      </c>
    </row>
    <row r="23" customFormat="false" ht="15" hidden="false" customHeight="false" outlineLevel="0" collapsed="false">
      <c r="B23" s="5" t="s">
        <v>131</v>
      </c>
      <c r="C23" s="5" t="s">
        <v>38</v>
      </c>
    </row>
    <row r="24" customFormat="false" ht="15" hidden="false" customHeight="false" outlineLevel="0" collapsed="false">
      <c r="B24" s="6" t="s">
        <v>158</v>
      </c>
      <c r="C24" s="8" t="n">
        <f aca="false">(C15/1000000)*C20</f>
        <v>46.08</v>
      </c>
    </row>
    <row r="25" customFormat="false" ht="15" hidden="false" customHeight="false" outlineLevel="0" collapsed="false">
      <c r="B25" s="6" t="s">
        <v>159</v>
      </c>
      <c r="C25" s="8" t="n">
        <f aca="false">(C16/1000000)*C21</f>
        <v>57.6</v>
      </c>
    </row>
    <row r="27" customFormat="false" ht="15" hidden="false" customHeight="false" outlineLevel="0" collapsed="false">
      <c r="B27" s="9" t="s">
        <v>160</v>
      </c>
      <c r="C27" s="10" t="n">
        <f aca="false">C24+C25</f>
        <v>103.68</v>
      </c>
    </row>
  </sheetData>
  <mergeCells count="3">
    <mergeCell ref="B1:G1"/>
    <mergeCell ref="B3:G3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2026-09-10T17:42:24Z</dcterms:created>
  <dc:creator>openpyxl</dc:creator>
  <dc:description/>
  <dc:language>en-US</dc:language>
  <cp:lastModifiedBy/>
  <dcterms:modified xsi:type="dcterms:W3CDTF">2026-09-10T17:42:27Z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