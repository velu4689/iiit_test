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 Source" sheetId="1" state="visible" r:id="rId3"/>
    <sheet name="Commercial" sheetId="2" state="visible" r:id="rId4"/>
    <sheet name="OSS vs Commercial" sheetId="3" state="visible" r:id="rId5"/>
    <sheet name="Scoring" sheetId="4" state="visible" r:id="rId6"/>
    <sheet name="Recommendation" sheetId="5" state="visible" r:id="rId7"/>
    <sheet name="Sources" sheetId="6" state="visible" r:id="rId8"/>
  </sheets>
  <definedNames>
    <definedName function="false" hidden="true" localSheetId="1" name="_xlnm._FilterDatabase" vbProcedure="false">Commercial!$A$4:$F$14</definedName>
    <definedName function="false" hidden="true" localSheetId="0" name="_xlnm._FilterDatabase" vbProcedure="false">'Open Source'!$A$4:$G$14</definedName>
    <definedName function="false" hidden="true" localSheetId="2" name="_xlnm._FilterDatabase" vbProcedure="false">'OSS vs Commercial'!$A$4:$C$13</definedName>
    <definedName function="false" hidden="true" localSheetId="4" name="_xlnm._FilterDatabase" vbProcedure="false">Recommendation!$A$4:$C$9</definedName>
    <definedName function="false" hidden="true" localSheetId="5" name="_xlnm._FilterDatabase" vbProcedure="false">Sources!$A$4:$B$10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<sst xmlns="http://schemas.openxmlformats.org/spreadsheetml/2006/main" count="237" uniqueCount="198">
  <si>
    <t xml:space="preserve">Top 10 open-source LLM screening tools</t>
  </si>
  <si>
    <t xml:space="preserve">Licences from general knowledge; verify before procurement. Model file scanners (ModelScan, picklescan) not listed; picklescan is already in our kit.</t>
  </si>
  <si>
    <t xml:space="preserve">Tool</t>
  </si>
  <si>
    <t xml:space="preserve">Type</t>
  </si>
  <si>
    <t xml:space="preserve">Best for</t>
  </si>
  <si>
    <t xml:space="preserve">Strengths</t>
  </si>
  <si>
    <t xml:space="preserve">Drawbacks</t>
  </si>
  <si>
    <t xml:space="preserve">Licence</t>
  </si>
  <si>
    <t xml:space="preserve">Fit for us</t>
  </si>
  <si>
    <t xml:space="preserve">Garak (NVIDIA)</t>
  </si>
  <si>
    <t xml:space="preserve">Red-team scanner</t>
  </si>
  <si>
    <t xml:space="preserve">Pre-deployment model testing</t>
  </si>
  <si>
    <t xml:space="preserve">Largest model-level probe library; runs fully offline</t>
  </si>
  <si>
    <t xml:space="preserve">Mostly single-turn; detectors flag any non-refusal (false positives); weak CI integration; changes between versions</t>
  </si>
  <si>
    <t xml:space="preserve">Apache 2.0</t>
  </si>
  <si>
    <t xml:space="preserve">In use (our kit)</t>
  </si>
  <si>
    <t xml:space="preserve">Promptfoo</t>
  </si>
  <si>
    <t xml:space="preserve">Red-team + evaluation</t>
  </si>
  <si>
    <t xml:space="preserve">App, agent and model testing in CI</t>
  </si>
  <si>
    <t xml:space="preserve">Easiest CI automation; tests apps and agents; OWASP, NIST and MITRE reports</t>
  </si>
  <si>
    <t xml:space="preserve">Owned by OpenAI since March 2026 (core stays MIT); some features paid</t>
  </si>
  <si>
    <t xml:space="preserve">MIT</t>
  </si>
  <si>
    <t xml:space="preserve">Candidate (multi-turn / agents)</t>
  </si>
  <si>
    <t xml:space="preserve">PyRIT (Microsoft)</t>
  </si>
  <si>
    <t xml:space="preserve">Red-team framework</t>
  </si>
  <si>
    <t xml:space="preserve">Multi-turn adaptive campaigns</t>
  </si>
  <si>
    <t xml:space="preserve">Crescendo, tree-of-attacks; text, image and audio</t>
  </si>
  <si>
    <t xml:space="preserve">A framework, not a ready scanner; needs Python work; frequent API changes</t>
  </si>
  <si>
    <t xml:space="preserve">DeepTeam (Confident AI)</t>
  </si>
  <si>
    <t xml:space="preserve">Python red teaming</t>
  </si>
  <si>
    <t xml:space="preserve">Simple setup; 40+ vulnerability types; pairs with DeepEval</t>
  </si>
  <si>
    <t xml:space="preserve">Smaller community; general-purpose more than security-focused</t>
  </si>
  <si>
    <t xml:space="preserve">Optional</t>
  </si>
  <si>
    <t xml:space="preserve">Giskard</t>
  </si>
  <si>
    <t xml:space="preserve">Testing + red-team</t>
  </si>
  <si>
    <t xml:space="preserve">RAG app and model scans</t>
  </si>
  <si>
    <t xml:space="preserve">Business-friendly reports; RAG evaluation</t>
  </si>
  <si>
    <t xml:space="preserve">Stronger on quality than deep security; advanced features in paid Hub</t>
  </si>
  <si>
    <t xml:space="preserve">FuzzyAI (CyberArk)</t>
  </si>
  <si>
    <t xml:space="preserve">Fuzzer</t>
  </si>
  <si>
    <t xml:space="preserve">Jailbreak fuzzing</t>
  </si>
  <si>
    <t xml:space="preserve">Many jailbreak techniques (ArtPrompt, PAIR, many-shot)</t>
  </si>
  <si>
    <t xml:space="preserve">Narrow scope; smaller project</t>
  </si>
  <si>
    <t xml:space="preserve">Inspect (UK AI Security Institute)</t>
  </si>
  <si>
    <t xml:space="preserve">Evaluation framework</t>
  </si>
  <si>
    <t xml:space="preserve">Custom, reproducible evaluations</t>
  </si>
  <si>
    <t xml:space="preserve">Rigorous; used by government safety bodies</t>
  </si>
  <si>
    <t xml:space="preserve">You write the evaluations; little ready-made security content</t>
  </si>
  <si>
    <t xml:space="preserve">LLM Guard (Protect AI)</t>
  </si>
  <si>
    <t xml:space="preserve">Runtime guardrail</t>
  </si>
  <si>
    <t xml:space="preserve">Input/output filtering</t>
  </si>
  <si>
    <t xml:space="preserve">Modular scanners: injection, PII, secrets, toxicity</t>
  </si>
  <si>
    <t xml:space="preserve">Adds latency; slower development since the Palo Alto acquisition</t>
  </si>
  <si>
    <t xml:space="preserve">Candidate (runtime)</t>
  </si>
  <si>
    <t xml:space="preserve">NeMo Guardrails (NVIDIA)</t>
  </si>
  <si>
    <t xml:space="preserve">Conversation policy rails</t>
  </si>
  <si>
    <t xml:space="preserve">Programmable rules; plugs in Llama Guard and others</t>
  </si>
  <si>
    <t xml:space="preserve">Steep learning curve (Colang language)</t>
  </si>
  <si>
    <t xml:space="preserve">Llama Guard / Prompt Guard (Meta)</t>
  </si>
  <si>
    <t xml:space="preserve">Runtime classifiers</t>
  </si>
  <si>
    <t xml:space="preserve">Safety and injection classification</t>
  </si>
  <si>
    <t xml:space="preserve">Strong, free classifiers you host yourself</t>
  </si>
  <si>
    <t xml:space="preserve">Classifiers only; Meta licence; new attacks can bypass them</t>
  </si>
  <si>
    <t xml:space="preserve">Llama licence</t>
  </si>
  <si>
    <t xml:space="preserve">Top 10 commercial LLM screening alternatives</t>
  </si>
  <si>
    <t xml:space="preserve">Ownership changes other than Promptfoo are from general knowledge as of mid-2026; verify before quoting.</t>
  </si>
  <si>
    <t xml:space="preserve">Product</t>
  </si>
  <si>
    <t xml:space="preserve">Focus</t>
  </si>
  <si>
    <t xml:space="preserve">Pricing model</t>
  </si>
  <si>
    <t xml:space="preserve">Prisma AIRS (Palo Alto Networks)</t>
  </si>
  <si>
    <t xml:space="preserve">Full platform</t>
  </si>
  <si>
    <t xml:space="preserve">Runtime firewall + red teaming (500+ attack vectors) + model scanning; enterprise support</t>
  </si>
  <si>
    <t xml:space="preserve">Cost; SaaS management; less transparency into tests</t>
  </si>
  <si>
    <t xml:space="preserve">Credits / quote</t>
  </si>
  <si>
    <t xml:space="preserve">Bake-off candidate</t>
  </si>
  <si>
    <t xml:space="preserve">Cisco AI Defense (formerly Robust Intelligence)</t>
  </si>
  <si>
    <t xml:space="preserve">Strong algorithmic red teaming; fits Cisco networks</t>
  </si>
  <si>
    <t xml:space="preserve">Best value inside the Cisco ecosystem</t>
  </si>
  <si>
    <t xml:space="preserve">Quote</t>
  </si>
  <si>
    <t xml:space="preserve">Lakera Guard (Check Point)</t>
  </si>
  <si>
    <t xml:space="preserve">Strong prompt-injection detection; simple API</t>
  </si>
  <si>
    <t xml:space="preserve">Mainly runtime; data passes through their service</t>
  </si>
  <si>
    <t xml:space="preserve">Usage / quote</t>
  </si>
  <si>
    <t xml:space="preserve">HiddenLayer</t>
  </si>
  <si>
    <t xml:space="preserve">Model security</t>
  </si>
  <si>
    <t xml:space="preserve">Model scanning, runtime detection, red teaming</t>
  </si>
  <si>
    <t xml:space="preserve">Enterprise pricing</t>
  </si>
  <si>
    <t xml:space="preserve">Mindgard</t>
  </si>
  <si>
    <t xml:space="preserve">Automated red teaming</t>
  </si>
  <si>
    <t xml:space="preserve">Continuous testing; large attack library</t>
  </si>
  <si>
    <t xml:space="preserve">Less suited to fully offline testing</t>
  </si>
  <si>
    <t xml:space="preserve">F5 AI Guardrails (formerly CalypsoAI)</t>
  </si>
  <si>
    <t xml:space="preserve">Runtime + red team</t>
  </si>
  <si>
    <t xml:space="preserve">Inline policy enforcement plus agentic red teaming</t>
  </si>
  <si>
    <t xml:space="preserve">Platform lock-in</t>
  </si>
  <si>
    <t xml:space="preserve">Lasso Security</t>
  </si>
  <si>
    <t xml:space="preserve">GenAI usage and runtime</t>
  </si>
  <si>
    <t xml:space="preserve">Visibility into employee AI use; data-leak prevention</t>
  </si>
  <si>
    <t xml:space="preserve">Focused on governing AI use more than testing models</t>
  </si>
  <si>
    <t xml:space="preserve">Azure AI Foundry red teaming agent / Content Safety</t>
  </si>
  <si>
    <t xml:space="preserve">Cloud-native</t>
  </si>
  <si>
    <t xml:space="preserve">Built on PyRIT; native to Azure</t>
  </si>
  <si>
    <t xml:space="preserve">Azure only</t>
  </si>
  <si>
    <t xml:space="preserve">Pay as you go</t>
  </si>
  <si>
    <t xml:space="preserve">Only if on Azure</t>
  </si>
  <si>
    <t xml:space="preserve">AWS Bedrock Guardrails</t>
  </si>
  <si>
    <t xml:space="preserve">Cloud-native guardrail</t>
  </si>
  <si>
    <t xml:space="preserve">Simple to add for Bedrock models; content and PII filters</t>
  </si>
  <si>
    <t xml:space="preserve">Mainly for AWS-hosted models; limited testing features</t>
  </si>
  <si>
    <t xml:space="preserve">Only if on Bedrock</t>
  </si>
  <si>
    <t xml:space="preserve">Giskard Hub / Promptfoo Enterprise</t>
  </si>
  <si>
    <t xml:space="preserve">Paid tiers of open source</t>
  </si>
  <si>
    <t xml:space="preserve">Dashboards, collaboration and support on familiar tools</t>
  </si>
  <si>
    <t xml:space="preserve">Paid versions of free cores</t>
  </si>
  <si>
    <t xml:space="preserve">Subscription</t>
  </si>
  <si>
    <t xml:space="preserve">Open source vs commercial</t>
  </si>
  <si>
    <t xml:space="preserve">Open source wins on cost, transparency and data control; commercial wins on runtime protection, adaptive attacks and support.</t>
  </si>
  <si>
    <t xml:space="preserve">Factor</t>
  </si>
  <si>
    <t xml:space="preserve">Open source (current setup)</t>
  </si>
  <si>
    <t xml:space="preserve">Commercial platforms</t>
  </si>
  <si>
    <t xml:space="preserve">Cost</t>
  </si>
  <si>
    <t xml:space="preserve">No licence; infrastructure and staff time only</t>
  </si>
  <si>
    <t xml:space="preserve">Licence fees, usually by quote or usage</t>
  </si>
  <si>
    <t xml:space="preserve">Transparency</t>
  </si>
  <si>
    <t xml:space="preserve">Every prompt and detector can be inspected</t>
  </si>
  <si>
    <t xml:space="preserve">Vendor-maintained tests; less visibility</t>
  </si>
  <si>
    <t xml:space="preserve">Data control</t>
  </si>
  <si>
    <t xml:space="preserve">Can run fully offline, in-house</t>
  </si>
  <si>
    <t xml:space="preserve">Often sends data to a vendor service</t>
  </si>
  <si>
    <t xml:space="preserve">Customisation</t>
  </si>
  <si>
    <t xml:space="preserve">Add probes, embedding tests, signing</t>
  </si>
  <si>
    <t xml:space="preserve">Vendor features and custom prompt sets</t>
  </si>
  <si>
    <t xml:space="preserve">Maintenance</t>
  </si>
  <si>
    <t xml:space="preserve">We maintain it (e.g. Garak 0.17.0 broke a suite)</t>
  </si>
  <si>
    <t xml:space="preserve">Vendor updates attack libraries and rules</t>
  </si>
  <si>
    <t xml:space="preserve">Accuracy</t>
  </si>
  <si>
    <t xml:space="preserve">More false positives; findings need manual review</t>
  </si>
  <si>
    <t xml:space="preserve">Usually tuned detectors and risk scoring</t>
  </si>
  <si>
    <t xml:space="preserve">Multi-turn and agent testing</t>
  </si>
  <si>
    <t xml:space="preserve">Weak in Garak; needs PyRIT or Promptfoo</t>
  </si>
  <si>
    <t xml:space="preserve">Built in on most platforms</t>
  </si>
  <si>
    <t xml:space="preserve">Runtime protection</t>
  </si>
  <si>
    <t xml:space="preserve">None unless we add guardrails</t>
  </si>
  <si>
    <t xml:space="preserve">Core feature (inline firewall or API)</t>
  </si>
  <si>
    <t xml:space="preserve">Support</t>
  </si>
  <si>
    <t xml:space="preserve">Community only</t>
  </si>
  <si>
    <t xml:space="preserve">Vendor support and service levels</t>
  </si>
  <si>
    <t xml:space="preserve">Weighted scoring (edit to fit your priorities)</t>
  </si>
  <si>
    <t xml:space="preserve">Blue cells are inputs: weights (row 5, should total 100%) and scores 1 (poor) to 5 (strong). Scores shown are indicative starting points, not measured results. Weighted score recalculates.</t>
  </si>
  <si>
    <t xml:space="preserve">Model-level attack coverage</t>
  </si>
  <si>
    <t xml:space="preserve">Multi-turn / agent testing</t>
  </si>
  <si>
    <t xml:space="preserve">Data stays in-house</t>
  </si>
  <si>
    <t xml:space="preserve">Ease of automation (CI)</t>
  </si>
  <si>
    <t xml:space="preserve">Cost (5 = cheapest)</t>
  </si>
  <si>
    <t xml:space="preserve">Support / maintenance</t>
  </si>
  <si>
    <t xml:space="preserve">Weighted score (out of 5)</t>
  </si>
  <si>
    <t xml:space="preserve">Weight</t>
  </si>
  <si>
    <t xml:space="preserve">Garak</t>
  </si>
  <si>
    <t xml:space="preserve">PyRIT</t>
  </si>
  <si>
    <t xml:space="preserve">DeepTeam</t>
  </si>
  <si>
    <t xml:space="preserve">LLM Guard</t>
  </si>
  <si>
    <t xml:space="preserve">NeMo Guardrails + Llama Guard</t>
  </si>
  <si>
    <t xml:space="preserve">Prisma AIRS</t>
  </si>
  <si>
    <t xml:space="preserve">Lakera Guard</t>
  </si>
  <si>
    <t xml:space="preserve">Rank</t>
  </si>
  <si>
    <t xml:space="preserve">Top-scoring tool</t>
  </si>
  <si>
    <t xml:space="preserve">Its score</t>
  </si>
  <si>
    <t xml:space="preserve">Note: tools serve different jobs (scanner vs guardrail vs platform). Use the score to compare within a category, not to pick one tool for everything.</t>
  </si>
  <si>
    <t xml:space="preserve">Recommendation</t>
  </si>
  <si>
    <t xml:space="preserve">Context: Llama 3.2 1B scan found 14 Critical and 26 High findings, mostly jailbreaks.</t>
  </si>
  <si>
    <t xml:space="preserve">#</t>
  </si>
  <si>
    <t xml:space="preserve">Action</t>
  </si>
  <si>
    <t xml:space="preserve">Status</t>
  </si>
  <si>
    <t xml:space="preserve">Keep Garak as the pre-deployment scanner and release gate</t>
  </si>
  <si>
    <t xml:space="preserve">In place</t>
  </si>
  <si>
    <t xml:space="preserve">Add Promptfoo or PyRIT for multi-turn and agent testing</t>
  </si>
  <si>
    <t xml:space="preserve">To decide</t>
  </si>
  <si>
    <t xml:space="preserve">Put a runtime guardrail in front of deployed models (Llama Guard + Prompt Guard, or LLM Guard)</t>
  </si>
  <si>
    <t xml:space="preserve">To do</t>
  </si>
  <si>
    <t xml:space="preserve">Re-run Garak suites against the guarded setup to measure improvement</t>
  </si>
  <si>
    <t xml:space="preserve">Evaluate Prisma AIRS in a side-by-side trial, mainly for runtime protection at scale</t>
  </si>
  <si>
    <t xml:space="preserve">To plan</t>
  </si>
  <si>
    <t xml:space="preserve">Sources</t>
  </si>
  <si>
    <t xml:space="preserve">As of 18 Oct 2026. Ownership changes other than Promptfoo are approximate (general knowledge).</t>
  </si>
  <si>
    <t xml:space="preserve">Source</t>
  </si>
  <si>
    <t xml:space="preserve">URL</t>
  </si>
  <si>
    <t xml:space="preserve">Promptfoo, Garak, PyRIT comparison (DEV Community)</t>
  </si>
  <si>
    <t xml:space="preserve">https://dev.to/ventrova/how-to-test-your-llm-app-for-prompt-injection-promptfoo-vs-garak-vs-giskard-vs-pyrit-vs-2oim</t>
  </si>
  <si>
    <t xml:space="preserve">Promptfoo alternatives (AppSec Santa)</t>
  </si>
  <si>
    <t xml:space="preserve">https://appsecsanta.com/ai-security-tools/promptfoo-alternatives</t>
  </si>
  <si>
    <t xml:space="preserve">Prompt injection detection tools (Augment Code)</t>
  </si>
  <si>
    <t xml:space="preserve">https://www.augmentcode.com/guides/prompt-injection-detection</t>
  </si>
  <si>
    <t xml:space="preserve">Prisma AIRS platform architecture</t>
  </si>
  <si>
    <t xml:space="preserve">https://docs.paloaltonetworks.com/prisma-airs/getting-started/prisma-airs-platform-architecture</t>
  </si>
  <si>
    <t xml:space="preserve">Prisma AIRS AI Red Teaming</t>
  </si>
  <si>
    <t xml:space="preserve">https://docs.paloaltonetworks.com/ai-runtime-security/ai-red-teaming/ai-red-teaming</t>
  </si>
  <si>
    <t xml:space="preserve">PyRIT repository</t>
  </si>
  <si>
    <t xml:space="preserve">https://github.com/microsoft/PyRIT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</si>
</sst>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260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7FA"/>
        <bgColor rgb="FFFFFFFF"/>
      </patternFill>
    </fill>
    <fill>
      <patternFill patternType="solid">
        <fgColor rgb="FFFFF4E0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CD6"/>
      </left>
      <right style="thin">
        <color rgb="FFC5CCD6"/>
      </right>
      <top style="thin">
        <color rgb="FFC5CCD6"/>
      </top>
      <bottom style="thin">
        <color rgb="FFC5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CD6"/>
      <rgbColor rgb="FF808080"/>
      <rgbColor rgb="FF9999FF"/>
      <rgbColor rgb="FF993366"/>
      <rgbColor rgb="FFFFF4E0"/>
      <rgbColor rgb="FFF5F7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ev.to/ventrova/how-to-test-your-llm-app-for-prompt-injection-promptfoo-vs-garak-vs-giskard-vs-pyrit-vs-2oim" TargetMode="External"/><Relationship Id="rId2" Type="http://schemas.openxmlformats.org/officeDocument/2006/relationships/hyperlink" Target="https://appsecsanta.com/ai-security-tools/promptfoo-alternatives" TargetMode="External"/><Relationship Id="rId3" Type="http://schemas.openxmlformats.org/officeDocument/2006/relationships/hyperlink" Target="https://www.augmentcode.com/guides/prompt-injection-detection" TargetMode="External"/><Relationship Id="rId4" Type="http://schemas.openxmlformats.org/officeDocument/2006/relationships/hyperlink" Target="https://docs.paloaltonetworks.com/prisma-airs/getting-started/prisma-airs-platform-architecture" TargetMode="External"/><Relationship Id="rId5" Type="http://schemas.openxmlformats.org/officeDocument/2006/relationships/hyperlink" Target="https://docs.paloaltonetworks.com/ai-runtime-security/ai-red-teaming/ai-red-teaming" TargetMode="External"/><Relationship Id="rId6" Type="http://schemas.openxmlformats.org/officeDocument/2006/relationships/hyperlink" Target="https://github.com/microsoft/PyRIT" TargetMode="External"/><Relationship Id="rId7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13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3.85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customFormat="false" ht="23.8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21</v>
      </c>
      <c r="G7" s="4" t="s">
        <v>22</v>
      </c>
    </row>
    <row r="8" customFormat="false" ht="23.85" hidden="false" customHeight="false" outlineLevel="0" collapsed="false">
      <c r="A8" s="5" t="s">
        <v>28</v>
      </c>
      <c r="B8" s="5" t="s">
        <v>24</v>
      </c>
      <c r="C8" s="5" t="s">
        <v>29</v>
      </c>
      <c r="D8" s="5" t="s">
        <v>30</v>
      </c>
      <c r="E8" s="5" t="s">
        <v>31</v>
      </c>
      <c r="F8" s="5" t="s">
        <v>14</v>
      </c>
      <c r="G8" s="5" t="s">
        <v>32</v>
      </c>
    </row>
    <row r="9" customFormat="false" ht="23.85" hidden="false" customHeight="false" outlineLevel="0" collapsed="false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14</v>
      </c>
      <c r="G9" s="4" t="s">
        <v>32</v>
      </c>
    </row>
    <row r="10" customFormat="false" ht="23.85" hidden="false" customHeight="false" outlineLevel="0" collapsed="false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14</v>
      </c>
      <c r="G10" s="5" t="s">
        <v>32</v>
      </c>
    </row>
    <row r="11" customFormat="false" ht="23.85" hidden="false" customHeight="false" outlineLevel="0" collapsed="false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21</v>
      </c>
      <c r="G11" s="4" t="s">
        <v>32</v>
      </c>
    </row>
    <row r="12" customFormat="false" ht="23.85" hidden="false" customHeight="false" outlineLevel="0" collapsed="false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21</v>
      </c>
      <c r="G12" s="5" t="s">
        <v>53</v>
      </c>
    </row>
    <row r="13" customFormat="false" ht="23.85" hidden="false" customHeight="false" outlineLevel="0" collapsed="false">
      <c r="A13" s="4" t="s">
        <v>54</v>
      </c>
      <c r="B13" s="4" t="s">
        <v>49</v>
      </c>
      <c r="C13" s="4" t="s">
        <v>55</v>
      </c>
      <c r="D13" s="4" t="s">
        <v>56</v>
      </c>
      <c r="E13" s="4" t="s">
        <v>57</v>
      </c>
      <c r="F13" s="4" t="s">
        <v>14</v>
      </c>
      <c r="G13" s="4" t="s">
        <v>53</v>
      </c>
    </row>
    <row r="14" customFormat="false" ht="23.85" hidden="false" customHeight="false" outlineLevel="0" collapsed="false">
      <c r="A14" s="5" t="s">
        <v>58</v>
      </c>
      <c r="B14" s="5" t="s">
        <v>59</v>
      </c>
      <c r="C14" s="5" t="s">
        <v>60</v>
      </c>
      <c r="D14" s="5" t="s">
        <v>61</v>
      </c>
      <c r="E14" s="5" t="s">
        <v>62</v>
      </c>
      <c r="F14" s="5" t="s">
        <v>63</v>
      </c>
      <c r="G14" s="5" t="s">
        <v>53</v>
      </c>
    </row>
  </sheetData>
  <autoFilter ref="A4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5</v>
      </c>
      <c r="D4" s="3" t="s">
        <v>6</v>
      </c>
      <c r="E4" s="3" t="s">
        <v>68</v>
      </c>
      <c r="F4" s="3" t="s">
        <v>8</v>
      </c>
    </row>
    <row r="5" customFormat="false" ht="23.85" hidden="false" customHeight="fals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</row>
    <row r="6" customFormat="false" ht="23.85" hidden="false" customHeight="false" outlineLevel="0" collapsed="false">
      <c r="A6" s="5" t="s">
        <v>75</v>
      </c>
      <c r="B6" s="5" t="s">
        <v>70</v>
      </c>
      <c r="C6" s="5" t="s">
        <v>76</v>
      </c>
      <c r="D6" s="5" t="s">
        <v>77</v>
      </c>
      <c r="E6" s="5" t="s">
        <v>78</v>
      </c>
      <c r="F6" s="5" t="s">
        <v>32</v>
      </c>
    </row>
    <row r="7" customFormat="false" ht="15" hidden="false" customHeight="false" outlineLevel="0" collapsed="false">
      <c r="A7" s="4" t="s">
        <v>79</v>
      </c>
      <c r="B7" s="4" t="s">
        <v>49</v>
      </c>
      <c r="C7" s="4" t="s">
        <v>80</v>
      </c>
      <c r="D7" s="4" t="s">
        <v>81</v>
      </c>
      <c r="E7" s="4" t="s">
        <v>82</v>
      </c>
      <c r="F7" s="4" t="s">
        <v>32</v>
      </c>
    </row>
    <row r="8" customFormat="false" ht="15" hidden="false" customHeight="false" outlineLevel="0" collapsed="false">
      <c r="A8" s="5" t="s">
        <v>83</v>
      </c>
      <c r="B8" s="5" t="s">
        <v>84</v>
      </c>
      <c r="C8" s="5" t="s">
        <v>85</v>
      </c>
      <c r="D8" s="5" t="s">
        <v>86</v>
      </c>
      <c r="E8" s="5" t="s">
        <v>78</v>
      </c>
      <c r="F8" s="5" t="s">
        <v>32</v>
      </c>
    </row>
    <row r="9" customFormat="false" ht="15" hidden="false" customHeight="false" outlineLevel="0" collapsed="false">
      <c r="A9" s="4" t="s">
        <v>87</v>
      </c>
      <c r="B9" s="4" t="s">
        <v>88</v>
      </c>
      <c r="C9" s="4" t="s">
        <v>89</v>
      </c>
      <c r="D9" s="4" t="s">
        <v>90</v>
      </c>
      <c r="E9" s="4" t="s">
        <v>78</v>
      </c>
      <c r="F9" s="4" t="s">
        <v>32</v>
      </c>
    </row>
    <row r="10" customFormat="false" ht="15" hidden="false" customHeight="false" outlineLevel="0" collapsed="false">
      <c r="A10" s="5" t="s">
        <v>91</v>
      </c>
      <c r="B10" s="5" t="s">
        <v>92</v>
      </c>
      <c r="C10" s="5" t="s">
        <v>93</v>
      </c>
      <c r="D10" s="5" t="s">
        <v>94</v>
      </c>
      <c r="E10" s="5" t="s">
        <v>78</v>
      </c>
      <c r="F10" s="5" t="s">
        <v>32</v>
      </c>
    </row>
    <row r="11" customFormat="false" ht="23.85" hidden="false" customHeight="false" outlineLevel="0" collapsed="false">
      <c r="A11" s="4" t="s">
        <v>95</v>
      </c>
      <c r="B11" s="4" t="s">
        <v>96</v>
      </c>
      <c r="C11" s="4" t="s">
        <v>97</v>
      </c>
      <c r="D11" s="4" t="s">
        <v>98</v>
      </c>
      <c r="E11" s="4" t="s">
        <v>78</v>
      </c>
      <c r="F11" s="4" t="s">
        <v>32</v>
      </c>
    </row>
    <row r="12" customFormat="false" ht="23.85" hidden="false" customHeight="false" outlineLevel="0" collapsed="false">
      <c r="A12" s="5" t="s">
        <v>99</v>
      </c>
      <c r="B12" s="5" t="s">
        <v>100</v>
      </c>
      <c r="C12" s="5" t="s">
        <v>101</v>
      </c>
      <c r="D12" s="5" t="s">
        <v>102</v>
      </c>
      <c r="E12" s="5" t="s">
        <v>103</v>
      </c>
      <c r="F12" s="5" t="s">
        <v>104</v>
      </c>
    </row>
    <row r="13" customFormat="false" ht="23.85" hidden="false" customHeight="false" outlineLevel="0" collapsed="false">
      <c r="A13" s="4" t="s">
        <v>105</v>
      </c>
      <c r="B13" s="4" t="s">
        <v>106</v>
      </c>
      <c r="C13" s="4" t="s">
        <v>107</v>
      </c>
      <c r="D13" s="4" t="s">
        <v>108</v>
      </c>
      <c r="E13" s="4" t="s">
        <v>103</v>
      </c>
      <c r="F13" s="4" t="s">
        <v>109</v>
      </c>
    </row>
    <row r="14" customFormat="false" ht="15" hidden="false" customHeight="false" outlineLevel="0" collapsed="false">
      <c r="A14" s="5" t="s">
        <v>110</v>
      </c>
      <c r="B14" s="5" t="s">
        <v>111</v>
      </c>
      <c r="C14" s="5" t="s">
        <v>112</v>
      </c>
      <c r="D14" s="5" t="s">
        <v>113</v>
      </c>
      <c r="E14" s="5" t="s">
        <v>114</v>
      </c>
      <c r="F14" s="5" t="s">
        <v>32</v>
      </c>
    </row>
  </sheetData>
  <autoFilter ref="A4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3" t="s">
        <v>118</v>
      </c>
      <c r="C4" s="3" t="s">
        <v>119</v>
      </c>
    </row>
    <row r="5" customFormat="false" ht="15" hidden="false" customHeight="false" outlineLevel="0" collapsed="false">
      <c r="A5" s="4" t="s">
        <v>120</v>
      </c>
      <c r="B5" s="4" t="s">
        <v>121</v>
      </c>
      <c r="C5" s="4" t="s">
        <v>122</v>
      </c>
    </row>
    <row r="6" customFormat="false" ht="15" hidden="false" customHeight="false" outlineLevel="0" collapsed="false">
      <c r="A6" s="5" t="s">
        <v>123</v>
      </c>
      <c r="B6" s="5" t="s">
        <v>124</v>
      </c>
      <c r="C6" s="5" t="s">
        <v>125</v>
      </c>
    </row>
    <row r="7" customFormat="false" ht="15" hidden="false" customHeight="false" outlineLevel="0" collapsed="false">
      <c r="A7" s="4" t="s">
        <v>126</v>
      </c>
      <c r="B7" s="4" t="s">
        <v>127</v>
      </c>
      <c r="C7" s="4" t="s">
        <v>128</v>
      </c>
    </row>
    <row r="8" customFormat="false" ht="15" hidden="false" customHeight="false" outlineLevel="0" collapsed="false">
      <c r="A8" s="5" t="s">
        <v>129</v>
      </c>
      <c r="B8" s="5" t="s">
        <v>130</v>
      </c>
      <c r="C8" s="5" t="s">
        <v>131</v>
      </c>
    </row>
    <row r="9" customFormat="false" ht="15" hidden="false" customHeight="false" outlineLevel="0" collapsed="false">
      <c r="A9" s="4" t="s">
        <v>132</v>
      </c>
      <c r="B9" s="4" t="s">
        <v>133</v>
      </c>
      <c r="C9" s="4" t="s">
        <v>134</v>
      </c>
    </row>
    <row r="10" customFormat="false" ht="15" hidden="false" customHeight="false" outlineLevel="0" collapsed="false">
      <c r="A10" s="5" t="s">
        <v>135</v>
      </c>
      <c r="B10" s="5" t="s">
        <v>136</v>
      </c>
      <c r="C10" s="5" t="s">
        <v>137</v>
      </c>
    </row>
    <row r="11" customFormat="false" ht="15" hidden="false" customHeight="false" outlineLevel="0" collapsed="false">
      <c r="A11" s="4" t="s">
        <v>138</v>
      </c>
      <c r="B11" s="4" t="s">
        <v>139</v>
      </c>
      <c r="C11" s="4" t="s">
        <v>140</v>
      </c>
    </row>
    <row r="12" customFormat="false" ht="15" hidden="false" customHeight="false" outlineLevel="0" collapsed="false">
      <c r="A12" s="5" t="s">
        <v>141</v>
      </c>
      <c r="B12" s="5" t="s">
        <v>142</v>
      </c>
      <c r="C12" s="5" t="s">
        <v>143</v>
      </c>
    </row>
    <row r="13" customFormat="false" ht="15" hidden="false" customHeight="false" outlineLevel="0" collapsed="false">
      <c r="A13" s="4" t="s">
        <v>144</v>
      </c>
      <c r="B13" s="4" t="s">
        <v>145</v>
      </c>
      <c r="C13" s="4" t="s">
        <v>146</v>
      </c>
    </row>
  </sheetData>
  <autoFilter ref="A4:C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45" hidden="false" customHeight="true" outlineLevel="0" collapsed="false">
      <c r="A4" s="3" t="s">
        <v>2</v>
      </c>
      <c r="B4" s="3" t="s">
        <v>149</v>
      </c>
      <c r="C4" s="3" t="s">
        <v>150</v>
      </c>
      <c r="D4" s="3" t="s">
        <v>141</v>
      </c>
      <c r="E4" s="3" t="s">
        <v>123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</row>
    <row r="5" customFormat="false" ht="15" hidden="false" customHeight="false" outlineLevel="0" collapsed="false">
      <c r="A5" s="6" t="s">
        <v>156</v>
      </c>
      <c r="B5" s="7" t="n">
        <v>0.2</v>
      </c>
      <c r="C5" s="7" t="n">
        <v>0.15</v>
      </c>
      <c r="D5" s="7" t="n">
        <v>0.15</v>
      </c>
      <c r="E5" s="7" t="n">
        <v>0.1</v>
      </c>
      <c r="F5" s="7" t="n">
        <v>0.15</v>
      </c>
      <c r="G5" s="7" t="n">
        <v>0.1</v>
      </c>
      <c r="H5" s="7" t="n">
        <v>0.1</v>
      </c>
      <c r="I5" s="7" t="n">
        <v>0.05</v>
      </c>
      <c r="J5" s="8" t="n">
        <f aca="false">SUM(B5:I5)</f>
        <v>1</v>
      </c>
    </row>
    <row r="6" customFormat="false" ht="15" hidden="false" customHeight="false" outlineLevel="0" collapsed="false">
      <c r="A6" s="9" t="s">
        <v>157</v>
      </c>
      <c r="B6" s="10" t="n">
        <v>5</v>
      </c>
      <c r="C6" s="10" t="n">
        <v>2</v>
      </c>
      <c r="D6" s="10" t="n">
        <v>1</v>
      </c>
      <c r="E6" s="10" t="n">
        <v>5</v>
      </c>
      <c r="F6" s="10" t="n">
        <v>5</v>
      </c>
      <c r="G6" s="10" t="n">
        <v>2</v>
      </c>
      <c r="H6" s="10" t="n">
        <v>5</v>
      </c>
      <c r="I6" s="10" t="n">
        <v>2</v>
      </c>
      <c r="J6" s="11" t="n">
        <f aca="false">SUMPRODUCT($B$5:$I$5,B6:I6)/SUM($B$5:$I$5)</f>
        <v>3.5</v>
      </c>
    </row>
    <row r="7" customFormat="false" ht="15" hidden="false" customHeight="false" outlineLevel="0" collapsed="false">
      <c r="A7" s="9" t="s">
        <v>16</v>
      </c>
      <c r="B7" s="10" t="n">
        <v>4</v>
      </c>
      <c r="C7" s="10" t="n">
        <v>4</v>
      </c>
      <c r="D7" s="10" t="n">
        <v>1</v>
      </c>
      <c r="E7" s="10" t="n">
        <v>4</v>
      </c>
      <c r="F7" s="10" t="n">
        <v>4</v>
      </c>
      <c r="G7" s="10" t="n">
        <v>5</v>
      </c>
      <c r="H7" s="10" t="n">
        <v>4</v>
      </c>
      <c r="I7" s="10" t="n">
        <v>3</v>
      </c>
      <c r="J7" s="11" t="n">
        <f aca="false">SUMPRODUCT($B$5:$I$5,B7:I7)/SUM($B$5:$I$5)</f>
        <v>3.6</v>
      </c>
    </row>
    <row r="8" customFormat="false" ht="15" hidden="false" customHeight="false" outlineLevel="0" collapsed="false">
      <c r="A8" s="9" t="s">
        <v>158</v>
      </c>
      <c r="B8" s="10" t="n">
        <v>3</v>
      </c>
      <c r="C8" s="10" t="n">
        <v>5</v>
      </c>
      <c r="D8" s="10" t="n">
        <v>1</v>
      </c>
      <c r="E8" s="10" t="n">
        <v>5</v>
      </c>
      <c r="F8" s="10" t="n">
        <v>5</v>
      </c>
      <c r="G8" s="10" t="n">
        <v>3</v>
      </c>
      <c r="H8" s="10" t="n">
        <v>5</v>
      </c>
      <c r="I8" s="10" t="n">
        <v>3</v>
      </c>
      <c r="J8" s="11" t="n">
        <f aca="false">SUMPRODUCT($B$5:$I$5,B8:I8)/SUM($B$5:$I$5)</f>
        <v>3.7</v>
      </c>
    </row>
    <row r="9" customFormat="false" ht="15" hidden="false" customHeight="false" outlineLevel="0" collapsed="false">
      <c r="A9" s="9" t="s">
        <v>159</v>
      </c>
      <c r="B9" s="10" t="n">
        <v>3</v>
      </c>
      <c r="C9" s="10" t="n">
        <v>3</v>
      </c>
      <c r="D9" s="10" t="n">
        <v>1</v>
      </c>
      <c r="E9" s="10" t="n">
        <v>4</v>
      </c>
      <c r="F9" s="10" t="n">
        <v>5</v>
      </c>
      <c r="G9" s="10" t="n">
        <v>4</v>
      </c>
      <c r="H9" s="10" t="n">
        <v>5</v>
      </c>
      <c r="I9" s="10" t="n">
        <v>2</v>
      </c>
      <c r="J9" s="11" t="n">
        <f aca="false">SUMPRODUCT($B$5:$I$5,B9:I9)/SUM($B$5:$I$5)</f>
        <v>3.35</v>
      </c>
    </row>
    <row r="10" customFormat="false" ht="15" hidden="false" customHeight="false" outlineLevel="0" collapsed="false">
      <c r="A10" s="9" t="s">
        <v>33</v>
      </c>
      <c r="B10" s="10" t="n">
        <v>3</v>
      </c>
      <c r="C10" s="10" t="n">
        <v>3</v>
      </c>
      <c r="D10" s="10" t="n">
        <v>1</v>
      </c>
      <c r="E10" s="10" t="n">
        <v>4</v>
      </c>
      <c r="F10" s="10" t="n">
        <v>4</v>
      </c>
      <c r="G10" s="10" t="n">
        <v>4</v>
      </c>
      <c r="H10" s="10" t="n">
        <v>4</v>
      </c>
      <c r="I10" s="10" t="n">
        <v>3</v>
      </c>
      <c r="J10" s="11" t="n">
        <f aca="false">SUMPRODUCT($B$5:$I$5,B10:I10)/SUM($B$5:$I$5)</f>
        <v>3.15</v>
      </c>
    </row>
    <row r="11" customFormat="false" ht="15" hidden="false" customHeight="false" outlineLevel="0" collapsed="false">
      <c r="A11" s="9" t="s">
        <v>160</v>
      </c>
      <c r="B11" s="10" t="n">
        <v>1</v>
      </c>
      <c r="C11" s="10" t="n">
        <v>1</v>
      </c>
      <c r="D11" s="10" t="n">
        <v>4</v>
      </c>
      <c r="E11" s="10" t="n">
        <v>5</v>
      </c>
      <c r="F11" s="10" t="n">
        <v>5</v>
      </c>
      <c r="G11" s="10" t="n">
        <v>4</v>
      </c>
      <c r="H11" s="10" t="n">
        <v>5</v>
      </c>
      <c r="I11" s="10" t="n">
        <v>2</v>
      </c>
      <c r="J11" s="11" t="n">
        <f aca="false">SUMPRODUCT($B$5:$I$5,B11:I11)/SUM($B$5:$I$5)</f>
        <v>3.2</v>
      </c>
    </row>
    <row r="12" customFormat="false" ht="15" hidden="false" customHeight="false" outlineLevel="0" collapsed="false">
      <c r="A12" s="9" t="s">
        <v>161</v>
      </c>
      <c r="B12" s="10" t="n">
        <v>1</v>
      </c>
      <c r="C12" s="10" t="n">
        <v>2</v>
      </c>
      <c r="D12" s="10" t="n">
        <v>4</v>
      </c>
      <c r="E12" s="10" t="n">
        <v>5</v>
      </c>
      <c r="F12" s="10" t="n">
        <v>5</v>
      </c>
      <c r="G12" s="10" t="n">
        <v>3</v>
      </c>
      <c r="H12" s="10" t="n">
        <v>5</v>
      </c>
      <c r="I12" s="10" t="n">
        <v>3</v>
      </c>
      <c r="J12" s="11" t="n">
        <f aca="false">SUMPRODUCT($B$5:$I$5,B12:I12)/SUM($B$5:$I$5)</f>
        <v>3.3</v>
      </c>
    </row>
    <row r="13" customFormat="false" ht="15" hidden="false" customHeight="false" outlineLevel="0" collapsed="false">
      <c r="A13" s="9" t="s">
        <v>162</v>
      </c>
      <c r="B13" s="10" t="n">
        <v>4</v>
      </c>
      <c r="C13" s="10" t="n">
        <v>5</v>
      </c>
      <c r="D13" s="10" t="n">
        <v>5</v>
      </c>
      <c r="E13" s="10" t="n">
        <v>2</v>
      </c>
      <c r="F13" s="10" t="n">
        <v>2</v>
      </c>
      <c r="G13" s="10" t="n">
        <v>4</v>
      </c>
      <c r="H13" s="10" t="n">
        <v>1</v>
      </c>
      <c r="I13" s="10" t="n">
        <v>5</v>
      </c>
      <c r="J13" s="11" t="n">
        <f aca="false">SUMPRODUCT($B$5:$I$5,B13:I13)/SUM($B$5:$I$5)</f>
        <v>3.55</v>
      </c>
    </row>
    <row r="14" customFormat="false" ht="15" hidden="false" customHeight="false" outlineLevel="0" collapsed="false">
      <c r="A14" s="9" t="s">
        <v>163</v>
      </c>
      <c r="B14" s="10" t="n">
        <v>2</v>
      </c>
      <c r="C14" s="10" t="n">
        <v>2</v>
      </c>
      <c r="D14" s="10" t="n">
        <v>5</v>
      </c>
      <c r="E14" s="10" t="n">
        <v>2</v>
      </c>
      <c r="F14" s="10" t="n">
        <v>2</v>
      </c>
      <c r="G14" s="10" t="n">
        <v>4</v>
      </c>
      <c r="H14" s="10" t="n">
        <v>2</v>
      </c>
      <c r="I14" s="10" t="n">
        <v>4</v>
      </c>
      <c r="J14" s="11" t="n">
        <f aca="false">SUMPRODUCT($B$5:$I$5,B14:I14)/SUM($B$5:$I$5)</f>
        <v>2.75</v>
      </c>
    </row>
    <row r="15" customFormat="false" ht="15" hidden="false" customHeight="false" outlineLevel="0" collapsed="false">
      <c r="A15" s="9" t="s">
        <v>83</v>
      </c>
      <c r="B15" s="10" t="n">
        <v>4</v>
      </c>
      <c r="C15" s="10" t="n">
        <v>3</v>
      </c>
      <c r="D15" s="10" t="n">
        <v>4</v>
      </c>
      <c r="E15" s="10" t="n">
        <v>2</v>
      </c>
      <c r="F15" s="10" t="n">
        <v>3</v>
      </c>
      <c r="G15" s="10" t="n">
        <v>3</v>
      </c>
      <c r="H15" s="10" t="n">
        <v>1</v>
      </c>
      <c r="I15" s="10" t="n">
        <v>4</v>
      </c>
      <c r="J15" s="11" t="n">
        <f aca="false">SUMPRODUCT($B$5:$I$5,B15:I15)/SUM($B$5:$I$5)</f>
        <v>3.1</v>
      </c>
    </row>
    <row r="17" customFormat="false" ht="15" hidden="false" customHeight="false" outlineLevel="0" collapsed="false">
      <c r="A17" s="12" t="s">
        <v>164</v>
      </c>
    </row>
    <row r="18" customFormat="false" ht="15" hidden="false" customHeight="false" outlineLevel="0" collapsed="false">
      <c r="A18" s="13" t="s">
        <v>165</v>
      </c>
      <c r="B18" s="12" t="str">
        <f aca="false">INDEX(A6:A15,MATCH(MAX(J6:J15),J6:J15,0))</f>
        <v>PyRIT</v>
      </c>
    </row>
    <row r="19" customFormat="false" ht="15" hidden="false" customHeight="false" outlineLevel="0" collapsed="false">
      <c r="A19" s="13" t="s">
        <v>166</v>
      </c>
      <c r="B19" s="14" t="n">
        <f aca="false">MAX(J6:J15)</f>
        <v>3.7</v>
      </c>
    </row>
    <row r="21" customFormat="false" ht="15" hidden="false" customHeight="false" outlineLevel="0" collapsed="false">
      <c r="A21" s="2" t="s">
        <v>167</v>
      </c>
    </row>
  </sheetData>
  <conditionalFormatting sqref="J6:J15">
    <cfRule type="colorScale" priority="2">
      <colorScale>
        <cfvo type="num" val="1"/>
        <cfvo type="num" val="3"/>
        <cfvo type="num" val="5"/>
        <color rgb="FFF8D7DA"/>
        <color rgb="FFFFF4E0"/>
        <color rgb="FFD4EDDA"/>
      </colorScale>
    </cfRule>
  </conditionalFormatting>
  <dataValidations count="1">
    <dataValidation allowBlank="false" error="Score must be 1 to 5" errorStyle="stop" operator="between" showDropDown="false" showErrorMessage="true" showInputMessage="false" sqref="B6:I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3" t="s">
        <v>170</v>
      </c>
      <c r="B4" s="3" t="s">
        <v>171</v>
      </c>
      <c r="C4" s="3" t="s">
        <v>172</v>
      </c>
    </row>
    <row r="5" customFormat="false" ht="15" hidden="false" customHeight="false" outlineLevel="0" collapsed="false">
      <c r="A5" s="4" t="n">
        <v>1</v>
      </c>
      <c r="B5" s="4" t="s">
        <v>173</v>
      </c>
      <c r="C5" s="4" t="s">
        <v>174</v>
      </c>
    </row>
    <row r="6" customFormat="false" ht="15" hidden="false" customHeight="false" outlineLevel="0" collapsed="false">
      <c r="A6" s="5" t="n">
        <v>2</v>
      </c>
      <c r="B6" s="5" t="s">
        <v>175</v>
      </c>
      <c r="C6" s="5" t="s">
        <v>176</v>
      </c>
    </row>
    <row r="7" customFormat="false" ht="15" hidden="false" customHeight="false" outlineLevel="0" collapsed="false">
      <c r="A7" s="4" t="n">
        <v>3</v>
      </c>
      <c r="B7" s="4" t="s">
        <v>177</v>
      </c>
      <c r="C7" s="4" t="s">
        <v>178</v>
      </c>
    </row>
    <row r="8" customFormat="false" ht="15" hidden="false" customHeight="false" outlineLevel="0" collapsed="false">
      <c r="A8" s="5" t="n">
        <v>4</v>
      </c>
      <c r="B8" s="5" t="s">
        <v>179</v>
      </c>
      <c r="C8" s="5" t="s">
        <v>178</v>
      </c>
    </row>
    <row r="9" customFormat="false" ht="15" hidden="false" customHeight="false" outlineLevel="0" collapsed="false">
      <c r="A9" s="4" t="n">
        <v>5</v>
      </c>
      <c r="B9" s="4" t="s">
        <v>180</v>
      </c>
      <c r="C9" s="4" t="s">
        <v>181</v>
      </c>
    </row>
  </sheetData>
  <autoFilter ref="A4:C9"/>
  <dataValidations count="1">
    <dataValidation allowBlank="false" errorStyle="stop" operator="between" showDropDown="false" showErrorMessage="false" showInputMessage="false" sqref="C5:C9" type="list">
      <formula1>"In place,To decide,To do,To plan,Done"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3" t="s">
        <v>184</v>
      </c>
      <c r="B4" s="3" t="s">
        <v>185</v>
      </c>
    </row>
    <row r="5" customFormat="false" ht="15" hidden="false" customHeight="false" outlineLevel="0" collapsed="false">
      <c r="A5" s="4" t="s">
        <v>186</v>
      </c>
      <c r="B5" s="15" t="s">
        <v>187</v>
      </c>
    </row>
    <row r="6" customFormat="false" ht="15" hidden="false" customHeight="false" outlineLevel="0" collapsed="false">
      <c r="A6" s="5" t="s">
        <v>188</v>
      </c>
      <c r="B6" s="16" t="s">
        <v>189</v>
      </c>
    </row>
    <row r="7" customFormat="false" ht="15" hidden="false" customHeight="false" outlineLevel="0" collapsed="false">
      <c r="A7" s="4" t="s">
        <v>190</v>
      </c>
      <c r="B7" s="15" t="s">
        <v>191</v>
      </c>
    </row>
    <row r="8" customFormat="false" ht="15" hidden="false" customHeight="false" outlineLevel="0" collapsed="false">
      <c r="A8" s="5" t="s">
        <v>192</v>
      </c>
      <c r="B8" s="16" t="s">
        <v>193</v>
      </c>
    </row>
    <row r="9" customFormat="false" ht="15" hidden="false" customHeight="false" outlineLevel="0" collapsed="false">
      <c r="A9" s="4" t="s">
        <v>194</v>
      </c>
      <c r="B9" s="15" t="s">
        <v>195</v>
      </c>
    </row>
    <row r="10" customFormat="false" ht="15" hidden="false" customHeight="false" outlineLevel="0" collapsed="false">
      <c r="A10" s="5" t="s">
        <v>196</v>
      </c>
      <c r="B10" s="16" t="s">
        <v>197</v>
      </c>
    </row>
  </sheetData>
  <autoFilter ref="A4:B10"/>
  <hyperlinks>
    <hyperlink ref="B5" r:id="rId1" display="https://dev.to/ventrova/how-to-test-your-llm-app-for-prompt-injection-promptfoo-vs-garak-vs-giskard-vs-pyrit-vs-2oim"/>
    <hyperlink ref="B6" r:id="rId2" display="https://appsecsanta.com/ai-security-tools/promptfoo-alternatives"/>
    <hyperlink ref="B7" r:id="rId3" display="https://www.augmentcode.com/guides/prompt-injection-detection"/>
    <hyperlink ref="B8" r:id="rId4" display="https://docs.paloaltonetworks.com/prisma-airs/getting-started/prisma-airs-platform-architecture"/>
    <hyperlink ref="B9" r:id="rId5" display="https://docs.paloaltonetworks.com/ai-runtime-security/ai-red-teaming/ai-red-teaming"/>
    <hyperlink ref="B10" r:id="rId6" display="https://github.com/microsoft/PyR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2026-10-19T04:37:24Z</dcterms:created>
  <dc:creator>openpyxl</dc:creator>
  <dc:description/>
  <dc:language>en-US</dc:language>
  <cp:lastModifiedBy/>
  <dcterms:modified xsi:type="dcterms:W3CDTF">2026-10-19T04:37:24Z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