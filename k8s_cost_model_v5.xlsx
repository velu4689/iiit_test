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st Model"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<sst xmlns="http://schemas.openxmlformats.org/spreadsheetml/2006/main" count="154" uniqueCount="134">
  <si>
    <t xml:space="preserve">On-prem</t>
  </si>
  <si>
    <t xml:space="preserve">Infrastructure type</t>
  </si>
  <si>
    <t xml:space="preserve">On-Prem</t>
  </si>
  <si>
    <t xml:space="preserve">Clusters considered for this analysis</t>
  </si>
  <si>
    <t xml:space="preserve">THIS is the active driver used in every formula below — flex it up/down to test scenarios. Distinct from a fixed 'total environment' figure, which you can track separately if useful.</t>
  </si>
  <si>
    <t xml:space="preserve">Nodes per cluster</t>
  </si>
  <si>
    <t xml:space="preserve">Services per cluster</t>
  </si>
  <si>
    <t xml:space="preserve">Pods per cluster (total workload instances)</t>
  </si>
  <si>
    <t xml:space="preserve">Metrics - Data Volume - Network Path</t>
  </si>
  <si>
    <t xml:space="preserve">Metrics per service</t>
  </si>
  <si>
    <t xml:space="preserve">Labels per metric</t>
  </si>
  <si>
    <t xml:space="preserve">Scrape Interval (Seconds)</t>
  </si>
  <si>
    <t xml:space="preserve">Bytes per sample (compressed remote-write) (bytes/sample)</t>
  </si>
  <si>
    <t xml:space="preserve">Total Services (clusters x services/cluster)</t>
  </si>
  <si>
    <t xml:space="preserve">FIXED: now = clusters considered x services/cluster (was a static number before) — this is what makes downstream volume scale with cluster count.</t>
  </si>
  <si>
    <t xml:space="preserve">Active Series (ATS)</t>
  </si>
  <si>
    <t xml:space="preserve">Ingestion Rate (samples/second)</t>
  </si>
  <si>
    <t xml:space="preserve">Data volume (GB/day)</t>
  </si>
  <si>
    <t xml:space="preserve">Metrics - Data Volume - Services Path</t>
  </si>
  <si>
    <t xml:space="preserve">Mimir Ingestion, Storage &amp; Retention</t>
  </si>
  <si>
    <t xml:space="preserve">Total Mimir ingestion volume (Network + k8s Services) (GB/day)</t>
  </si>
  <si>
    <t xml:space="preserve">Total Mimir ingestion volume (monthly) (GB/month)</t>
  </si>
  <si>
    <t xml:space="preserve">Token Usage</t>
  </si>
  <si>
    <t xml:space="preserve">Claude call interval (seconds)</t>
  </si>
  <si>
    <t xml:space="preserve">Drives call frequency below. Set equal to your scrape interval (15s) if Claude runs every refresh, or longer (e.g. 60s) to decouple LLM cadence from raw data cadence and control cost.</t>
  </si>
  <si>
    <t xml:space="preserve">Claude runs per day</t>
  </si>
  <si>
    <t xml:space="preserve">FIXED: was a flat 1440 before, disconnected from refresh interval. Now = 86,400 / call interval — shorten the interval and this rises automatically. This is the solid, mechanical way refresh interval changes total token usage: more calls, not necessarily bigger calls.</t>
  </si>
  <si>
    <t xml:space="preserve">Pods analyzed per run</t>
  </si>
  <si>
    <t xml:space="preserve">Kept as a flat editable number matching your live sheet's actual value (not auto-scaled by cluster count anymore — you can multiply by clusters_considered/pods_per_cluster yourself if you want that link back).</t>
  </si>
  <si>
    <t xml:space="preserve">Per-pod input token size — only scales with refresh interval IF you include historical samples</t>
  </si>
  <si>
    <t xml:space="preserve">Historical lookback window included per call (seconds)</t>
  </si>
  <si>
    <t xml:space="preserve">How much metric HISTORY (not just current value) gets packed into each pod's payload. Set to 0 if your prompt only sends the latest snapshot per metric — in that case per-pod size should NOT depend on refresh interval, and you should just use a flat 'base tokens per pod' below instead.</t>
  </si>
  <si>
    <t xml:space="preserve">Base tokens per pod (identity/structure, snapshot only)</t>
  </si>
  <si>
    <t xml:space="preserve">Service/pod name, labels, current metric values — the part of the payload that does NOT grow with refresh interval.</t>
  </si>
  <si>
    <t xml:space="preserve">Tokens per additional historical sample</t>
  </si>
  <si>
    <t xml:space="preserve">Rough placeholder for one extra timestamped data point per metric in the lookback window. Replace with a real count_tokens measurement once you have a sample payload.</t>
  </si>
  <si>
    <t xml:space="preserve">-&gt; Samples per pod within lookback window</t>
  </si>
  <si>
    <t xml:space="preserve">Formula: lookback window / scrape interval (15s). THIS is where refresh interval enters per-pod size: a shorter scrape interval packs more samples into the same lookback window.</t>
  </si>
  <si>
    <t xml:space="preserve">Avg input tokens per pod-path (derived)</t>
  </si>
  <si>
    <t xml:space="preserve">Formula: base tokens + samples in window x tokens/sample. Set 'Historical lookback window' to 0 above and this collapses to just the flat base figure, with no refresh-interval dependency — whichever matches your actual prompt design.</t>
  </si>
  <si>
    <t xml:space="preserve">Avg output tokens per pod-path (rough estimate) (tokens/pod)</t>
  </si>
  <si>
    <t xml:space="preserve">Kept flat/independent of refresh interval: output is generated text, not a data dump, so it doesn't mechanically grow with more input samples the way input tokens do. Ground this with a real pilot run's usage.output_tokens instead.</t>
  </si>
  <si>
    <t xml:space="preserve">Pod-path analyses per day</t>
  </si>
  <si>
    <t xml:space="preserve">Now scales with cluster count via 'Pods analyzed per run.'</t>
  </si>
  <si>
    <t xml:space="preserve">Pod-path analyses per month</t>
  </si>
  <si>
    <t xml:space="preserve">Total input tokens / month</t>
  </si>
  <si>
    <t xml:space="preserve">Total output tokens / month</t>
  </si>
  <si>
    <t xml:space="preserve">Claude API Pricing (Sonnet 5 default — verified platform.claude.com/docs, 2026-09-10)</t>
  </si>
  <si>
    <t xml:space="preserve">Input price ($/MTok)</t>
  </si>
  <si>
    <t xml:space="preserve">Output price ($/MTok)</t>
  </si>
  <si>
    <t xml:space="preserve">Input token cost</t>
  </si>
  <si>
    <t xml:space="preserve">Output token cost</t>
  </si>
  <si>
    <t xml:space="preserve">TOTAL CLAUDE TOKEN COST (monthly)</t>
  </si>
  <si>
    <t xml:space="preserve">Mimir Compute Cost — Ingestion + Query (Grafana official capacity-planning ratios)</t>
  </si>
  <si>
    <t xml:space="preserve">-&gt; Combined ingestion rate (Network Path + Services Path)</t>
  </si>
  <si>
    <t xml:space="preserve">samples/sec. Both streams hit the same Mimir, so their sample rates add.</t>
  </si>
  <si>
    <t xml:space="preserve">-&gt; Combined active series (Network Path + Services Path)</t>
  </si>
  <si>
    <t xml:space="preserve">series</t>
  </si>
  <si>
    <t xml:space="preserve">Ingester replication factor</t>
  </si>
  <si>
    <t xml:space="preserve">Standard Mimir default (-ingester.ring.replication-factor).</t>
  </si>
  <si>
    <t xml:space="preserve">-&gt; Series in memory (combined active series x replication factor)</t>
  </si>
  <si>
    <t xml:space="preserve">Label-width safety buffer (fraction, e.g. 0.25 = +25%)</t>
  </si>
  <si>
    <t xml:space="preserve">FLAGGED, NOT a precise calculation: Grafana's own docs state real resource use 'might differ based on the actual number or length of series' labels' — the official ratios (1 core/300k series etc.) are benchmarked against a reference workload, not YOUR specific label width. At 16-20 labels/metric (yours is on the wide side), each series' label set costs more ingester memory/CPU than a narrow one, and that's not broken out separately in their formula. 25% is a conservative placeholder buffer, not a derived number — replace it with real measurement (Mimir's own cortex_ingester_memory_series metrics under representative load) once you have a test cluster running.</t>
  </si>
  <si>
    <t xml:space="preserve">-&gt; Distributor CPU cores (ingestion path)</t>
  </si>
  <si>
    <t xml:space="preserve">Source: Grafana Mimir capacity planning docs — 1 CPU core per 25,000 samples/sec, plus the label-width buffer above.</t>
  </si>
  <si>
    <t xml:space="preserve">-&gt; Ingester CPU cores (in-memory series)</t>
  </si>
  <si>
    <t xml:space="preserve">Source: same docs — 1 CPU core per 300,000 series in memory, plus the label-width buffer above. This is the component most exposed to label-width risk since it holds full label sets in memory.</t>
  </si>
  <si>
    <t xml:space="preserve">Mimir queries issued per Claude run</t>
  </si>
  <si>
    <t xml:space="preserve">How many separate Mimir queries each Claude call triggers to pull its pod-path context. Raise this if your prompt assembly makes multiple queries per run.</t>
  </si>
  <si>
    <t xml:space="preserve">-&gt; Query rate (queries/second)</t>
  </si>
  <si>
    <t xml:space="preserve">-&gt; Query-frontend CPU cores</t>
  </si>
  <si>
    <t xml:space="preserve">Source: Grafana docs — 1 CPU core per 250 queries/sec.</t>
  </si>
  <si>
    <t xml:space="preserve">-&gt; Querier CPU cores</t>
  </si>
  <si>
    <t xml:space="preserve">Source: Grafana docs — 1 CPU core per 10 queries/sec.</t>
  </si>
  <si>
    <t xml:space="preserve">-&gt; Store-gateway CPU cores</t>
  </si>
  <si>
    <t xml:space="preserve">Source: Grafana docs — 1 CPU core per 10 queries/sec (queries reaching long-term storage).</t>
  </si>
  <si>
    <t xml:space="preserve">-&gt; Compactor CPU cores</t>
  </si>
  <si>
    <t xml:space="preserve">Source: Grafana docs — 1 instance (~1 core) per 20M active series. At small scale this is a tiny fraction of a shared core, not a dedicated one.</t>
  </si>
  <si>
    <t xml:space="preserve">TOTAL Mimir CPU cores needed</t>
  </si>
  <si>
    <t xml:space="preserve">CPU cores per on-prem node</t>
  </si>
  <si>
    <t xml:space="preserve">Matches Grafana's 1:4 CPU-to-RAM guidance (e.g. 16 cores / 64GB). Adjust to your real node spec.</t>
  </si>
  <si>
    <t xml:space="preserve">On-prem node cost ($/month, amortized)</t>
  </si>
  <si>
    <t xml:space="preserve">FLAGGED: placeholder for one full node's amortized HW + power + cooling. Replace with your real per-node TCO — this is the same lever as the rest of the sheet's infra cost.</t>
  </si>
  <si>
    <t xml:space="preserve">MIMIR COMPUTE COST (monthly)</t>
  </si>
  <si>
    <t xml:space="preserve">Formula: (total cores needed / cores per node) x node cost/month. Add this to your existing storage $/GB-month line for full Mimir infra cost.</t>
  </si>
  <si>
    <t xml:space="preserve">On-Prem GPU Cost — Self-Hosted LLM Alternative (sourced market data, 2026)</t>
  </si>
  <si>
    <t xml:space="preserve">GPU purchase price (used H100 SXM 80GB)</t>
  </si>
  <si>
    <t xml:space="preserve">Secondary-market range is $15,000-20,000; midpoint used. Source: sitepoint.com self-hosted LLM cost report, 2026.</t>
  </si>
  <si>
    <t xml:space="preserve">Amortization period</t>
  </si>
  <si>
    <t xml:space="preserve">months</t>
  </si>
  <si>
    <t xml:space="preserve">GPU power draw (worst case, sustained)</t>
  </si>
  <si>
    <t xml:space="preserve">watts</t>
  </si>
  <si>
    <t xml:space="preserve">Electricity rate</t>
  </si>
  <si>
    <t xml:space="preserve">$/kWh</t>
  </si>
  <si>
    <t xml:space="preserve">-&gt; GPU hardware cost (amortized)</t>
  </si>
  <si>
    <t xml:space="preserve">$/mo</t>
  </si>
  <si>
    <t xml:space="preserve">-&gt; Electricity cost (running 24/7)</t>
  </si>
  <si>
    <t xml:space="preserve">GPU INFRA COST (monthly, fixed regardless of usage)</t>
  </si>
  <si>
    <t xml:space="preserve">  GPU count sizing — every factor made explicit (edit the yellow rows for your real model choice)</t>
  </si>
  <si>
    <t xml:space="preserve">Base throughput (tokens/sec, single-stream, FP16, batch=1)</t>
  </si>
  <si>
    <t xml:space="preserve">Reference points, single H100 — 8B model: ~12,500 tok/s aggregate. 70B single-stream FP16: ~95 tok/s. Sources: packet.ai and iternal.ai 2026 benchmarks. Pick the figure matching YOUR model size, not a generic average.</t>
  </si>
  <si>
    <t xml:space="preserve">Batching multiplier (x)</t>
  </si>
  <si>
    <t xml:space="preserve">1.0 = unbatched (worst case). Continuous batching (e.g. batch=8 via vLLM) can push a 70B model to ~380 tok/s — that's ~4x, so set this to 4 if your serving stack batches concurrent requests. This is usually the single biggest lever on GPU count.</t>
  </si>
  <si>
    <t xml:space="preserve">Quantization multiplier (x)</t>
  </si>
  <si>
    <t xml:space="preserve">1.0 = FP16 (baseline). FP8 on H100 roughly doubles throughput with no hardware change — set to 2 if you quantize. INT4/AWQ can push further but needs a quality check first.</t>
  </si>
  <si>
    <t xml:space="preserve">-&gt; Effective throughput (base x batching x quantization)</t>
  </si>
  <si>
    <t xml:space="preserve">tokens/sec</t>
  </si>
  <si>
    <t xml:space="preserve">-&gt; Max token capacity per GPU per month (24/7)</t>
  </si>
  <si>
    <t xml:space="preserve">tokens/mo</t>
  </si>
  <si>
    <t xml:space="preserve">Your required tokens/month (this scenario)</t>
  </si>
  <si>
    <t xml:space="preserve">tokens/mo. Pulled from the Token Usage section above (current refresh-interval scenario).</t>
  </si>
  <si>
    <t xml:space="preserve">-&gt; GPUs needed, exact (demand / per-GPU capacity)</t>
  </si>
  <si>
    <t xml:space="preserve">GPUs</t>
  </si>
  <si>
    <t xml:space="preserve">Burst/headroom multiplier (x)</t>
  </si>
  <si>
    <t xml:space="preserve">1.0 assumes perfectly even load spread across 24/7 — unrealistic if your 1,440 runs/day cluster into bursts rather than spreading evenly. Raise toward 1.3-1.5 if load is bursty, to avoid undersizing.</t>
  </si>
  <si>
    <t xml:space="preserve">Redundancy (extra GPUs for failover)</t>
  </si>
  <si>
    <t xml:space="preserve">Production pipelines typically want N+1 so a single GPU failure doesn't break the refresh pipeline. Set to 0 if downtime tolerance is high.</t>
  </si>
  <si>
    <t xml:space="preserve">GPUS NEEDED (final, rounded up + headroom + redundancy)</t>
  </si>
  <si>
    <t xml:space="preserve">-&gt; Effective utilization at final GPU count</t>
  </si>
  <si>
    <t xml:space="preserve">%</t>
  </si>
  <si>
    <t xml:space="preserve">TOTAL OWNED GPU FLEET COST (monthly)</t>
  </si>
  <si>
    <t xml:space="preserve">  AWS Cloud GPU (P5, H100) — same GPU count, rented instead of owned</t>
  </si>
  <si>
    <t xml:space="preserve">p5.4xlarge on-demand rate (1x H100, $/hour)</t>
  </si>
  <si>
    <t xml:space="preserve">us-east-1 on-demand list price, 2026. Source: AWS EC2 pricing / multiple 2026 market reports.</t>
  </si>
  <si>
    <t xml:space="preserve">3-year Savings Plan discount (fraction off on-demand)</t>
  </si>
  <si>
    <t xml:space="preserve">AWS's own published reduction for 1-year EC2 Instance Savings Plans on P5 (H100), announced June 2025.</t>
  </si>
  <si>
    <t xml:space="preserve">Spot discount (fraction off on-demand)</t>
  </si>
  <si>
    <t xml:space="preserve">Typical range is 60-70% off. NOT recommended for this pipeline — AWS can reclaim spot instances anytime, a bad fit for a reliability-dependent refresh job.</t>
  </si>
  <si>
    <t xml:space="preserve">-&gt; On-demand cost (fleet, monthly)</t>
  </si>
  <si>
    <t xml:space="preserve">-&gt; 3yr Savings Plan cost (fleet, monthly)</t>
  </si>
  <si>
    <t xml:space="preserve">-&gt; Spot cost (fleet, monthly, NOT recommended here)</t>
  </si>
  <si>
    <t xml:space="preserve">-&gt; Best AWS option (reserved) vs. owned, multiplier</t>
  </si>
  <si>
    <t xml:space="preserve">x</t>
  </si>
  <si>
    <t xml:space="preserve">Reference only, not a formula: published breakeven vs. API is sharply model-size-dependent — ~30B models pay back in 0.3-3 months, 70B in 2.3-34 months, 235B+ in 4.3-69 months (arXiv 2509.18101). This assumes 80-90% utilization; real production teams typically run 40-65%. AWS rental is consistently several times pricier than owning for a steady-state 24/7 workload like this one — it only wins if you need to move fast without capex risk, or your real volume is too uncertain to commit to owned hardware.</t>
  </si>
</sst>
</file>

<file path=xl/styles.xml><?xml version="1.0" encoding="utf-8"?>
<styleSheet xmlns="http://schemas.openxmlformats.org/spreadsheetml/2006/main">
  <numFmts count="9">
    <numFmt numFmtId="164" formatCode="General"/>
    <numFmt numFmtId="165" formatCode="#,##0"/>
    <numFmt numFmtId="166" formatCode="#,##0.00"/>
    <numFmt numFmtId="167" formatCode="#,##0.0000"/>
    <numFmt numFmtId="168" formatCode="\$#,##0.00"/>
    <numFmt numFmtId="169" formatCode="#,##0.000"/>
    <numFmt numFmtId="170" formatCode="General"/>
    <numFmt numFmtId="171" formatCode="0.00%"/>
    <numFmt numFmtId="172" formatCode="0.0\x"/>
  </numFmts>
  <fonts count="10">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
      <sz val="11"/>
      <color rgb="FF0000FF"/>
      <name val="Arial"/>
      <family val="0"/>
      <charset val="1"/>
    </font>
    <font>
      <i val="true"/>
      <sz val="9.5"/>
      <color rgb="FF9C5700"/>
      <name val="Arial"/>
      <family val="0"/>
      <charset val="1"/>
    </font>
    <font>
      <sz val="11"/>
      <color rgb="FF000000"/>
      <name val="Arial"/>
      <family val="0"/>
      <charset val="1"/>
    </font>
    <font>
      <i val="true"/>
      <sz val="9.5"/>
      <color rgb="FF595959"/>
      <name val="Arial"/>
      <family val="0"/>
      <charset val="1"/>
    </font>
  </fonts>
  <fills count="6">
    <fill>
      <patternFill patternType="none"/>
    </fill>
    <fill>
      <patternFill patternType="gray125"/>
    </fill>
    <fill>
      <patternFill patternType="solid">
        <fgColor rgb="FFE8E85A"/>
        <bgColor rgb="FFFFD966"/>
      </patternFill>
    </fill>
    <fill>
      <patternFill patternType="solid">
        <fgColor rgb="FFFFFF00"/>
        <bgColor rgb="FFFFFF00"/>
      </patternFill>
    </fill>
    <fill>
      <patternFill patternType="solid">
        <fgColor rgb="FFFFD966"/>
        <bgColor rgb="FFE8E85A"/>
      </patternFill>
    </fill>
    <fill>
      <patternFill patternType="solid">
        <fgColor rgb="FFD9D9D9"/>
        <bgColor rgb="FFCCFFCC"/>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right" vertical="bottom" textRotation="0" wrapText="false" indent="0" shrinkToFit="false"/>
      <protection locked="true" hidden="false"/>
    </xf>
    <xf numFmtId="164" fontId="6" fillId="4"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right" vertical="bottom" textRotation="0" wrapText="false" indent="0" shrinkToFit="false"/>
      <protection locked="true" hidden="false"/>
    </xf>
    <xf numFmtId="165" fontId="6" fillId="3" borderId="1" xfId="0" applyFont="true" applyBorder="true" applyAlignment="true" applyProtection="false">
      <alignment horizontal="right" vertical="bottom" textRotation="0" wrapText="false" indent="0" shrinkToFit="false"/>
      <protection locked="true" hidden="false"/>
    </xf>
    <xf numFmtId="168" fontId="6" fillId="3" borderId="1" xfId="0" applyFont="true" applyBorder="true" applyAlignment="true" applyProtection="false">
      <alignment horizontal="right" vertical="bottom" textRotation="0" wrapText="false" indent="0" shrinkToFit="false"/>
      <protection locked="true" hidden="false"/>
    </xf>
    <xf numFmtId="168" fontId="8" fillId="0" borderId="1"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8" fontId="4" fillId="5" borderId="1" xfId="0" applyFont="true" applyBorder="true" applyAlignment="true" applyProtection="false">
      <alignment horizontal="right" vertical="bottom" textRotation="0" wrapText="false" indent="0" shrinkToFit="false"/>
      <protection locked="true" hidden="false"/>
    </xf>
    <xf numFmtId="169" fontId="8" fillId="0" borderId="1" xfId="0" applyFont="true" applyBorder="true" applyAlignment="true" applyProtection="false">
      <alignment horizontal="right" vertical="bottom" textRotation="0" wrapText="false" indent="0" shrinkToFit="false"/>
      <protection locked="true" hidden="false"/>
    </xf>
    <xf numFmtId="168" fontId="6" fillId="4" borderId="1" xfId="0" applyFont="true" applyBorder="true" applyAlignment="true" applyProtection="false">
      <alignment horizontal="right" vertical="bottom" textRotation="0" wrapText="false" indent="0" shrinkToFit="false"/>
      <protection locked="true" hidden="false"/>
    </xf>
    <xf numFmtId="170" fontId="4" fillId="5" borderId="1" xfId="0" applyFont="true" applyBorder="true" applyAlignment="true" applyProtection="false">
      <alignment horizontal="right" vertical="bottom" textRotation="0" wrapText="false" indent="0" shrinkToFit="false"/>
      <protection locked="true" hidden="false"/>
    </xf>
    <xf numFmtId="171" fontId="8" fillId="0" borderId="1" xfId="0" applyFont="true" applyBorder="true" applyAlignment="true" applyProtection="false">
      <alignment horizontal="right" vertical="bottom" textRotation="0" wrapText="false" indent="0" shrinkToFit="false"/>
      <protection locked="true" hidden="false"/>
    </xf>
    <xf numFmtId="172" fontId="8" fillId="0"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E8E85A"/>
      <rgbColor rgb="FF99CCFF"/>
      <rgbColor rgb="FFFF99CC"/>
      <rgbColor rgb="FFCC99FF"/>
      <rgbColor rgb="FFFFD966"/>
      <rgbColor rgb="FF3366FF"/>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1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6"/>
    <col collapsed="false" customWidth="true" hidden="false" outlineLevel="0" max="3" min="3" style="0" width="60"/>
  </cols>
  <sheetData>
    <row r="2" customFormat="false" ht="15" hidden="false" customHeight="false" outlineLevel="0" collapsed="false">
      <c r="A2" s="1"/>
      <c r="B2" s="2" t="s">
        <v>0</v>
      </c>
    </row>
    <row r="3" customFormat="false" ht="15" hidden="false" customHeight="false" outlineLevel="0" collapsed="false">
      <c r="A3" s="3" t="s">
        <v>1</v>
      </c>
      <c r="B3" s="4" t="s">
        <v>2</v>
      </c>
    </row>
    <row r="4" customFormat="false" ht="48" hidden="false" customHeight="true" outlineLevel="0" collapsed="false">
      <c r="A4" s="3" t="s">
        <v>3</v>
      </c>
      <c r="B4" s="5" t="n">
        <v>360</v>
      </c>
      <c r="C4" s="6" t="s">
        <v>4</v>
      </c>
    </row>
    <row r="5" customFormat="false" ht="15" hidden="false" customHeight="false" outlineLevel="0" collapsed="false">
      <c r="A5" s="3" t="s">
        <v>5</v>
      </c>
      <c r="B5" s="4" t="n">
        <v>5</v>
      </c>
    </row>
    <row r="6" customFormat="false" ht="15" hidden="false" customHeight="false" outlineLevel="0" collapsed="false">
      <c r="A6" s="3" t="s">
        <v>6</v>
      </c>
      <c r="B6" s="4" t="n">
        <v>5</v>
      </c>
    </row>
    <row r="7" customFormat="false" ht="15" hidden="false" customHeight="false" outlineLevel="0" collapsed="false">
      <c r="A7" s="3" t="s">
        <v>7</v>
      </c>
      <c r="B7" s="4" t="n">
        <v>30</v>
      </c>
    </row>
    <row r="9" customFormat="false" ht="15" hidden="false" customHeight="false" outlineLevel="0" collapsed="false">
      <c r="A9" s="1" t="s">
        <v>8</v>
      </c>
      <c r="B9" s="2" t="s">
        <v>0</v>
      </c>
    </row>
    <row r="10" customFormat="false" ht="15" hidden="false" customHeight="false" outlineLevel="0" collapsed="false">
      <c r="A10" s="3" t="s">
        <v>9</v>
      </c>
      <c r="B10" s="4" t="n">
        <v>20</v>
      </c>
    </row>
    <row r="11" customFormat="false" ht="15" hidden="false" customHeight="false" outlineLevel="0" collapsed="false">
      <c r="A11" s="3" t="s">
        <v>10</v>
      </c>
      <c r="B11" s="4" t="n">
        <v>16</v>
      </c>
    </row>
    <row r="12" customFormat="false" ht="15" hidden="false" customHeight="false" outlineLevel="0" collapsed="false">
      <c r="A12" s="3" t="s">
        <v>11</v>
      </c>
      <c r="B12" s="4" t="n">
        <v>15</v>
      </c>
    </row>
    <row r="13" customFormat="false" ht="15" hidden="false" customHeight="false" outlineLevel="0" collapsed="false">
      <c r="A13" s="3" t="s">
        <v>12</v>
      </c>
      <c r="B13" s="4" t="n">
        <v>2</v>
      </c>
    </row>
    <row r="14" customFormat="false" ht="33.75" hidden="false" customHeight="true" outlineLevel="0" collapsed="false">
      <c r="A14" s="3" t="s">
        <v>13</v>
      </c>
      <c r="B14" s="7" t="n">
        <f aca="false">B4*B6</f>
        <v>1800</v>
      </c>
      <c r="C14" s="8" t="s">
        <v>14</v>
      </c>
    </row>
    <row r="15" customFormat="false" ht="15" hidden="false" customHeight="false" outlineLevel="0" collapsed="false">
      <c r="A15" s="3" t="s">
        <v>15</v>
      </c>
      <c r="B15" s="7" t="n">
        <f aca="false">B14*B10*B11</f>
        <v>576000</v>
      </c>
    </row>
    <row r="16" customFormat="false" ht="15" hidden="false" customHeight="false" outlineLevel="0" collapsed="false">
      <c r="A16" s="3" t="s">
        <v>16</v>
      </c>
      <c r="B16" s="9" t="n">
        <f aca="false">B15/B12</f>
        <v>38400</v>
      </c>
    </row>
    <row r="17" customFormat="false" ht="15" hidden="false" customHeight="false" outlineLevel="0" collapsed="false">
      <c r="A17" s="3" t="s">
        <v>17</v>
      </c>
      <c r="B17" s="10" t="n">
        <f aca="false">B16*B13*86400/1000000000</f>
        <v>6.63552</v>
      </c>
    </row>
    <row r="19" customFormat="false" ht="15" hidden="false" customHeight="false" outlineLevel="0" collapsed="false">
      <c r="A19" s="1" t="s">
        <v>18</v>
      </c>
      <c r="B19" s="2" t="s">
        <v>0</v>
      </c>
    </row>
    <row r="20" customFormat="false" ht="15" hidden="false" customHeight="false" outlineLevel="0" collapsed="false">
      <c r="A20" s="3" t="s">
        <v>9</v>
      </c>
      <c r="B20" s="4" t="n">
        <v>20</v>
      </c>
    </row>
    <row r="21" customFormat="false" ht="15" hidden="false" customHeight="false" outlineLevel="0" collapsed="false">
      <c r="A21" s="3" t="s">
        <v>10</v>
      </c>
      <c r="B21" s="4" t="n">
        <v>16</v>
      </c>
    </row>
    <row r="22" customFormat="false" ht="15" hidden="false" customHeight="false" outlineLevel="0" collapsed="false">
      <c r="A22" s="3" t="s">
        <v>11</v>
      </c>
      <c r="B22" s="4" t="n">
        <v>15</v>
      </c>
    </row>
    <row r="23" customFormat="false" ht="15" hidden="false" customHeight="false" outlineLevel="0" collapsed="false">
      <c r="A23" s="3" t="s">
        <v>12</v>
      </c>
      <c r="B23" s="4" t="n">
        <v>2</v>
      </c>
    </row>
    <row r="24" customFormat="false" ht="15" hidden="false" customHeight="false" outlineLevel="0" collapsed="false">
      <c r="A24" s="3" t="s">
        <v>13</v>
      </c>
      <c r="B24" s="7" t="n">
        <f aca="false">B4*B6</f>
        <v>1800</v>
      </c>
    </row>
    <row r="25" customFormat="false" ht="15" hidden="false" customHeight="false" outlineLevel="0" collapsed="false">
      <c r="A25" s="3" t="s">
        <v>15</v>
      </c>
      <c r="B25" s="7" t="n">
        <f aca="false">B24*B20*B21</f>
        <v>576000</v>
      </c>
    </row>
    <row r="26" customFormat="false" ht="15" hidden="false" customHeight="false" outlineLevel="0" collapsed="false">
      <c r="A26" s="3" t="s">
        <v>16</v>
      </c>
      <c r="B26" s="9" t="n">
        <f aca="false">B25/B22</f>
        <v>38400</v>
      </c>
    </row>
    <row r="27" customFormat="false" ht="15" hidden="false" customHeight="false" outlineLevel="0" collapsed="false">
      <c r="A27" s="3" t="s">
        <v>17</v>
      </c>
      <c r="B27" s="10" t="n">
        <f aca="false">B26*B23*86400/1000000000</f>
        <v>6.63552</v>
      </c>
    </row>
    <row r="29" customFormat="false" ht="15" hidden="false" customHeight="false" outlineLevel="0" collapsed="false">
      <c r="A29" s="1" t="s">
        <v>19</v>
      </c>
      <c r="B29" s="2" t="s">
        <v>0</v>
      </c>
    </row>
    <row r="30" customFormat="false" ht="15" hidden="false" customHeight="false" outlineLevel="0" collapsed="false">
      <c r="A30" s="3" t="s">
        <v>20</v>
      </c>
      <c r="B30" s="10" t="n">
        <f aca="false">B17+B27</f>
        <v>13.27104</v>
      </c>
    </row>
    <row r="31" customFormat="false" ht="15" hidden="false" customHeight="false" outlineLevel="0" collapsed="false">
      <c r="A31" s="3" t="s">
        <v>21</v>
      </c>
      <c r="B31" s="7" t="n">
        <f aca="false">B30*30</f>
        <v>398.1312</v>
      </c>
    </row>
    <row r="33" customFormat="false" ht="15" hidden="false" customHeight="false" outlineLevel="0" collapsed="false">
      <c r="A33" s="1" t="s">
        <v>22</v>
      </c>
      <c r="B33" s="2" t="s">
        <v>0</v>
      </c>
    </row>
    <row r="34" customFormat="false" ht="48" hidden="false" customHeight="true" outlineLevel="0" collapsed="false">
      <c r="A34" s="3" t="s">
        <v>23</v>
      </c>
      <c r="B34" s="4" t="n">
        <v>60</v>
      </c>
      <c r="C34" s="8" t="s">
        <v>24</v>
      </c>
    </row>
    <row r="35" customFormat="false" ht="61.5" hidden="false" customHeight="true" outlineLevel="0" collapsed="false">
      <c r="A35" s="3" t="s">
        <v>25</v>
      </c>
      <c r="B35" s="7" t="n">
        <f aca="false">86400/B34</f>
        <v>1440</v>
      </c>
      <c r="C35" s="8" t="s">
        <v>26</v>
      </c>
    </row>
    <row r="36" customFormat="false" ht="48" hidden="false" customHeight="true" outlineLevel="0" collapsed="false">
      <c r="A36" s="3" t="s">
        <v>27</v>
      </c>
      <c r="B36" s="11" t="n">
        <v>40</v>
      </c>
      <c r="C36" s="8" t="s">
        <v>28</v>
      </c>
    </row>
    <row r="38" customFormat="false" ht="15" hidden="false" customHeight="false" outlineLevel="0" collapsed="false">
      <c r="A38" s="1" t="s">
        <v>29</v>
      </c>
      <c r="B38" s="2" t="s">
        <v>0</v>
      </c>
    </row>
    <row r="39" customFormat="false" ht="61.5" hidden="false" customHeight="true" outlineLevel="0" collapsed="false">
      <c r="A39" s="3" t="s">
        <v>30</v>
      </c>
      <c r="B39" s="5" t="n">
        <v>300</v>
      </c>
      <c r="C39" s="6" t="s">
        <v>31</v>
      </c>
    </row>
    <row r="40" customFormat="false" ht="33.75" hidden="false" customHeight="true" outlineLevel="0" collapsed="false">
      <c r="A40" s="3" t="s">
        <v>32</v>
      </c>
      <c r="B40" s="5" t="n">
        <v>200</v>
      </c>
      <c r="C40" s="6" t="s">
        <v>33</v>
      </c>
    </row>
    <row r="41" customFormat="false" ht="33.75" hidden="false" customHeight="true" outlineLevel="0" collapsed="false">
      <c r="A41" s="3" t="s">
        <v>34</v>
      </c>
      <c r="B41" s="5" t="n">
        <v>15</v>
      </c>
      <c r="C41" s="6" t="s">
        <v>35</v>
      </c>
    </row>
    <row r="42" customFormat="false" ht="48" hidden="false" customHeight="true" outlineLevel="0" collapsed="false">
      <c r="A42" s="3" t="s">
        <v>36</v>
      </c>
      <c r="B42" s="7" t="n">
        <f aca="false">B39/B12</f>
        <v>20</v>
      </c>
      <c r="C42" s="8" t="s">
        <v>37</v>
      </c>
    </row>
    <row r="43" customFormat="false" ht="48" hidden="false" customHeight="true" outlineLevel="0" collapsed="false">
      <c r="A43" s="3" t="s">
        <v>38</v>
      </c>
      <c r="B43" s="7" t="n">
        <f aca="false">B40+B42*B41</f>
        <v>500</v>
      </c>
      <c r="C43" s="8" t="s">
        <v>39</v>
      </c>
    </row>
    <row r="44" customFormat="false" ht="48" hidden="false" customHeight="true" outlineLevel="0" collapsed="false">
      <c r="A44" s="3" t="s">
        <v>40</v>
      </c>
      <c r="B44" s="5" t="n">
        <v>200</v>
      </c>
      <c r="C44" s="6" t="s">
        <v>41</v>
      </c>
    </row>
    <row r="46" customFormat="false" ht="19.5" hidden="false" customHeight="true" outlineLevel="0" collapsed="false">
      <c r="A46" s="3" t="s">
        <v>42</v>
      </c>
      <c r="B46" s="7" t="n">
        <f aca="false">B35*B36</f>
        <v>57600</v>
      </c>
      <c r="C46" s="8" t="s">
        <v>43</v>
      </c>
    </row>
    <row r="47" customFormat="false" ht="15" hidden="false" customHeight="false" outlineLevel="0" collapsed="false">
      <c r="A47" s="3" t="s">
        <v>44</v>
      </c>
      <c r="B47" s="7" t="n">
        <f aca="false">B46*30</f>
        <v>1728000</v>
      </c>
    </row>
    <row r="48" customFormat="false" ht="15" hidden="false" customHeight="false" outlineLevel="0" collapsed="false">
      <c r="A48" s="3" t="s">
        <v>45</v>
      </c>
      <c r="B48" s="7" t="n">
        <f aca="false">B47*B43</f>
        <v>864000000</v>
      </c>
    </row>
    <row r="49" customFormat="false" ht="15" hidden="false" customHeight="false" outlineLevel="0" collapsed="false">
      <c r="A49" s="3" t="s">
        <v>46</v>
      </c>
      <c r="B49" s="7" t="n">
        <f aca="false">B47*B44</f>
        <v>345600000</v>
      </c>
    </row>
    <row r="51" customFormat="false" ht="15" hidden="false" customHeight="false" outlineLevel="0" collapsed="false">
      <c r="A51" s="1" t="s">
        <v>47</v>
      </c>
      <c r="B51" s="2" t="s">
        <v>0</v>
      </c>
    </row>
    <row r="52" customFormat="false" ht="15" hidden="false" customHeight="false" outlineLevel="0" collapsed="false">
      <c r="A52" s="3" t="s">
        <v>48</v>
      </c>
      <c r="B52" s="12" t="n">
        <v>2</v>
      </c>
    </row>
    <row r="53" customFormat="false" ht="15" hidden="false" customHeight="false" outlineLevel="0" collapsed="false">
      <c r="A53" s="3" t="s">
        <v>49</v>
      </c>
      <c r="B53" s="12" t="n">
        <v>10</v>
      </c>
    </row>
    <row r="55" customFormat="false" ht="15" hidden="false" customHeight="false" outlineLevel="0" collapsed="false">
      <c r="A55" s="3" t="s">
        <v>50</v>
      </c>
      <c r="B55" s="13" t="n">
        <f aca="false">(B48/1000000)*B52</f>
        <v>1728</v>
      </c>
    </row>
    <row r="56" customFormat="false" ht="15" hidden="false" customHeight="false" outlineLevel="0" collapsed="false">
      <c r="A56" s="3" t="s">
        <v>51</v>
      </c>
      <c r="B56" s="13" t="n">
        <f aca="false">(B49/1000000)*B53</f>
        <v>3456</v>
      </c>
    </row>
    <row r="57" customFormat="false" ht="15" hidden="false" customHeight="false" outlineLevel="0" collapsed="false">
      <c r="A57" s="14" t="s">
        <v>52</v>
      </c>
      <c r="B57" s="15" t="n">
        <f aca="false">B55+B56</f>
        <v>5184</v>
      </c>
    </row>
    <row r="58" customFormat="false" ht="15" hidden="false" customHeight="false" outlineLevel="0" collapsed="false">
      <c r="A58" s="1" t="s">
        <v>53</v>
      </c>
      <c r="B58" s="2" t="s">
        <v>0</v>
      </c>
    </row>
    <row r="59" customFormat="false" ht="19.5" hidden="false" customHeight="true" outlineLevel="0" collapsed="false">
      <c r="A59" s="3" t="s">
        <v>54</v>
      </c>
      <c r="B59" s="9" t="n">
        <f aca="false">B16+B26</f>
        <v>76800</v>
      </c>
      <c r="C59" s="8" t="s">
        <v>55</v>
      </c>
    </row>
    <row r="60" customFormat="false" ht="19.5" hidden="false" customHeight="true" outlineLevel="0" collapsed="false">
      <c r="A60" s="3" t="s">
        <v>56</v>
      </c>
      <c r="B60" s="9" t="n">
        <f aca="false">B15+B25</f>
        <v>1152000</v>
      </c>
      <c r="C60" s="8" t="s">
        <v>57</v>
      </c>
    </row>
    <row r="61" customFormat="false" ht="19.5" hidden="false" customHeight="true" outlineLevel="0" collapsed="false">
      <c r="A61" s="3" t="s">
        <v>58</v>
      </c>
      <c r="B61" s="4" t="n">
        <v>3</v>
      </c>
      <c r="C61" s="8" t="s">
        <v>59</v>
      </c>
    </row>
    <row r="62" customFormat="false" ht="15" hidden="false" customHeight="false" outlineLevel="0" collapsed="false">
      <c r="A62" s="3" t="s">
        <v>60</v>
      </c>
      <c r="B62" s="9" t="n">
        <f aca="false">B60*B61</f>
        <v>3456000</v>
      </c>
    </row>
    <row r="63" customFormat="false" ht="117.75" hidden="false" customHeight="true" outlineLevel="0" collapsed="false">
      <c r="A63" s="3" t="s">
        <v>61</v>
      </c>
      <c r="B63" s="5" t="n">
        <v>0.25</v>
      </c>
      <c r="C63" s="6" t="s">
        <v>62</v>
      </c>
    </row>
    <row r="64" customFormat="false" ht="33.75" hidden="false" customHeight="true" outlineLevel="0" collapsed="false">
      <c r="A64" s="3" t="s">
        <v>63</v>
      </c>
      <c r="B64" s="16" t="n">
        <f aca="false">(B59/25000)*(1+B63)</f>
        <v>3.84</v>
      </c>
      <c r="C64" s="8" t="s">
        <v>64</v>
      </c>
    </row>
    <row r="65" customFormat="false" ht="48" hidden="false" customHeight="true" outlineLevel="0" collapsed="false">
      <c r="A65" s="3" t="s">
        <v>65</v>
      </c>
      <c r="B65" s="16" t="n">
        <f aca="false">(B62/300000)*(1+B63)</f>
        <v>14.4</v>
      </c>
      <c r="C65" s="8" t="s">
        <v>66</v>
      </c>
    </row>
    <row r="66" customFormat="false" ht="33.75" hidden="false" customHeight="true" outlineLevel="0" collapsed="false">
      <c r="A66" s="3" t="s">
        <v>67</v>
      </c>
      <c r="B66" s="5" t="n">
        <v>1</v>
      </c>
      <c r="C66" s="6" t="s">
        <v>68</v>
      </c>
    </row>
    <row r="67" customFormat="false" ht="15" hidden="false" customHeight="false" outlineLevel="0" collapsed="false">
      <c r="A67" s="3" t="s">
        <v>69</v>
      </c>
      <c r="B67" s="9" t="n">
        <f aca="false">(B35*B66)/86400</f>
        <v>0.0166666666666667</v>
      </c>
    </row>
    <row r="68" customFormat="false" ht="19.5" hidden="false" customHeight="true" outlineLevel="0" collapsed="false">
      <c r="A68" s="3" t="s">
        <v>70</v>
      </c>
      <c r="B68" s="16" t="n">
        <f aca="false">B67/250</f>
        <v>6.66666666666667E-005</v>
      </c>
      <c r="C68" s="8" t="s">
        <v>71</v>
      </c>
    </row>
    <row r="69" customFormat="false" ht="19.5" hidden="false" customHeight="true" outlineLevel="0" collapsed="false">
      <c r="A69" s="3" t="s">
        <v>72</v>
      </c>
      <c r="B69" s="16" t="n">
        <f aca="false">B67/10</f>
        <v>0.00166666666666667</v>
      </c>
      <c r="C69" s="8" t="s">
        <v>73</v>
      </c>
    </row>
    <row r="70" customFormat="false" ht="33.75" hidden="false" customHeight="true" outlineLevel="0" collapsed="false">
      <c r="A70" s="3" t="s">
        <v>74</v>
      </c>
      <c r="B70" s="16" t="n">
        <f aca="false">B67/10</f>
        <v>0.00166666666666667</v>
      </c>
      <c r="C70" s="8" t="s">
        <v>75</v>
      </c>
    </row>
    <row r="71" customFormat="false" ht="33.75" hidden="false" customHeight="true" outlineLevel="0" collapsed="false">
      <c r="A71" s="3" t="s">
        <v>76</v>
      </c>
      <c r="B71" s="16" t="n">
        <f aca="false">B60/20000000</f>
        <v>0.0576</v>
      </c>
      <c r="C71" s="8" t="s">
        <v>77</v>
      </c>
    </row>
    <row r="72" customFormat="false" ht="15" hidden="false" customHeight="false" outlineLevel="0" collapsed="false">
      <c r="A72" s="3" t="s">
        <v>78</v>
      </c>
      <c r="B72" s="16" t="n">
        <f aca="false">B64+B65+B68+B69+B70+B71</f>
        <v>18.301</v>
      </c>
    </row>
    <row r="74" customFormat="false" ht="33.75" hidden="false" customHeight="true" outlineLevel="0" collapsed="false">
      <c r="A74" s="3" t="s">
        <v>79</v>
      </c>
      <c r="B74" s="5" t="n">
        <v>16</v>
      </c>
      <c r="C74" s="6" t="s">
        <v>80</v>
      </c>
    </row>
    <row r="75" customFormat="false" ht="48" hidden="false" customHeight="true" outlineLevel="0" collapsed="false">
      <c r="A75" s="3" t="s">
        <v>81</v>
      </c>
      <c r="B75" s="5" t="n">
        <v>700</v>
      </c>
      <c r="C75" s="6" t="s">
        <v>82</v>
      </c>
    </row>
    <row r="76" customFormat="false" ht="33.75" hidden="false" customHeight="true" outlineLevel="0" collapsed="false">
      <c r="A76" s="14" t="s">
        <v>83</v>
      </c>
      <c r="B76" s="15" t="n">
        <f aca="false">(B72/B74)*B75</f>
        <v>800.66875</v>
      </c>
      <c r="C76" s="8" t="s">
        <v>84</v>
      </c>
    </row>
    <row r="78" customFormat="false" ht="15" hidden="false" customHeight="false" outlineLevel="0" collapsed="false">
      <c r="A78" s="1" t="s">
        <v>85</v>
      </c>
      <c r="B78" s="2" t="s">
        <v>0</v>
      </c>
    </row>
    <row r="79" customFormat="false" ht="33.75" hidden="false" customHeight="true" outlineLevel="0" collapsed="false">
      <c r="A79" s="3" t="s">
        <v>86</v>
      </c>
      <c r="B79" s="17" t="n">
        <v>17500</v>
      </c>
      <c r="C79" s="6" t="s">
        <v>87</v>
      </c>
    </row>
    <row r="80" customFormat="false" ht="19.5" hidden="false" customHeight="true" outlineLevel="0" collapsed="false">
      <c r="A80" s="3" t="s">
        <v>88</v>
      </c>
      <c r="B80" s="5" t="n">
        <v>36</v>
      </c>
      <c r="C80" s="6" t="s">
        <v>89</v>
      </c>
    </row>
    <row r="81" customFormat="false" ht="19.5" hidden="false" customHeight="true" outlineLevel="0" collapsed="false">
      <c r="A81" s="3" t="s">
        <v>90</v>
      </c>
      <c r="B81" s="5" t="n">
        <v>700</v>
      </c>
      <c r="C81" s="6" t="s">
        <v>91</v>
      </c>
    </row>
    <row r="82" customFormat="false" ht="19.5" hidden="false" customHeight="true" outlineLevel="0" collapsed="false">
      <c r="A82" s="3" t="s">
        <v>92</v>
      </c>
      <c r="B82" s="5" t="n">
        <v>0.13</v>
      </c>
      <c r="C82" s="6" t="s">
        <v>93</v>
      </c>
    </row>
    <row r="83" customFormat="false" ht="19.5" hidden="false" customHeight="true" outlineLevel="0" collapsed="false">
      <c r="A83" s="3" t="s">
        <v>94</v>
      </c>
      <c r="B83" s="13" t="n">
        <f aca="false">B79/B80</f>
        <v>486.111111111111</v>
      </c>
      <c r="C83" s="8" t="s">
        <v>95</v>
      </c>
    </row>
    <row r="84" customFormat="false" ht="19.5" hidden="false" customHeight="true" outlineLevel="0" collapsed="false">
      <c r="A84" s="3" t="s">
        <v>96</v>
      </c>
      <c r="B84" s="13" t="n">
        <f aca="false">(B81/1000)*24*30*B82</f>
        <v>65.52</v>
      </c>
      <c r="C84" s="8" t="s">
        <v>95</v>
      </c>
    </row>
    <row r="85" customFormat="false" ht="15" hidden="false" customHeight="false" outlineLevel="0" collapsed="false">
      <c r="A85" s="14" t="s">
        <v>97</v>
      </c>
      <c r="B85" s="15" t="n">
        <f aca="false">B83+B84</f>
        <v>551.631111111111</v>
      </c>
    </row>
    <row r="87" customFormat="false" ht="15" hidden="false" customHeight="false" outlineLevel="0" collapsed="false">
      <c r="A87" s="1" t="s">
        <v>98</v>
      </c>
      <c r="B87" s="2" t="s">
        <v>0</v>
      </c>
    </row>
    <row r="88" customFormat="false" ht="48" hidden="false" customHeight="true" outlineLevel="0" collapsed="false">
      <c r="A88" s="3" t="s">
        <v>99</v>
      </c>
      <c r="B88" s="5" t="n">
        <v>95</v>
      </c>
      <c r="C88" s="6" t="s">
        <v>100</v>
      </c>
    </row>
    <row r="89" customFormat="false" ht="48" hidden="false" customHeight="true" outlineLevel="0" collapsed="false">
      <c r="A89" s="3" t="s">
        <v>101</v>
      </c>
      <c r="B89" s="5" t="n">
        <v>1</v>
      </c>
      <c r="C89" s="6" t="s">
        <v>102</v>
      </c>
    </row>
    <row r="90" customFormat="false" ht="48" hidden="false" customHeight="true" outlineLevel="0" collapsed="false">
      <c r="A90" s="3" t="s">
        <v>103</v>
      </c>
      <c r="B90" s="5" t="n">
        <v>1</v>
      </c>
      <c r="C90" s="6" t="s">
        <v>104</v>
      </c>
    </row>
    <row r="91" customFormat="false" ht="19.5" hidden="false" customHeight="true" outlineLevel="0" collapsed="false">
      <c r="A91" s="3" t="s">
        <v>105</v>
      </c>
      <c r="B91" s="7" t="n">
        <f aca="false">B88*B89*B90</f>
        <v>95</v>
      </c>
      <c r="C91" s="8" t="s">
        <v>106</v>
      </c>
    </row>
    <row r="92" customFormat="false" ht="19.5" hidden="false" customHeight="true" outlineLevel="0" collapsed="false">
      <c r="A92" s="3" t="s">
        <v>107</v>
      </c>
      <c r="B92" s="7" t="n">
        <f aca="false">B91*3600*24*30</f>
        <v>246240000</v>
      </c>
      <c r="C92" s="8" t="s">
        <v>108</v>
      </c>
    </row>
    <row r="94" customFormat="false" ht="33.75" hidden="false" customHeight="true" outlineLevel="0" collapsed="false">
      <c r="A94" s="3" t="s">
        <v>109</v>
      </c>
      <c r="B94" s="7" t="n">
        <f aca="false">B48+B49</f>
        <v>1209600000</v>
      </c>
      <c r="C94" s="8" t="s">
        <v>110</v>
      </c>
    </row>
    <row r="95" customFormat="false" ht="19.5" hidden="false" customHeight="true" outlineLevel="0" collapsed="false">
      <c r="A95" s="3" t="s">
        <v>111</v>
      </c>
      <c r="B95" s="9" t="n">
        <f aca="false">B94/B92</f>
        <v>4.91228070175439</v>
      </c>
      <c r="C95" s="8" t="s">
        <v>112</v>
      </c>
    </row>
    <row r="96" customFormat="false" ht="48" hidden="false" customHeight="true" outlineLevel="0" collapsed="false">
      <c r="A96" s="3" t="s">
        <v>113</v>
      </c>
      <c r="B96" s="5" t="n">
        <v>1</v>
      </c>
      <c r="C96" s="6" t="s">
        <v>114</v>
      </c>
    </row>
    <row r="97" customFormat="false" ht="33.75" hidden="false" customHeight="true" outlineLevel="0" collapsed="false">
      <c r="A97" s="3" t="s">
        <v>115</v>
      </c>
      <c r="B97" s="5" t="n">
        <v>1</v>
      </c>
      <c r="C97" s="6" t="s">
        <v>116</v>
      </c>
    </row>
    <row r="98" customFormat="false" ht="19.5" hidden="false" customHeight="true" outlineLevel="0" collapsed="false">
      <c r="A98" s="14" t="s">
        <v>117</v>
      </c>
      <c r="B98" s="18" t="n">
        <f aca="false">ROUNDUP(B95*B96,0)+B97</f>
        <v>6</v>
      </c>
      <c r="C98" s="8" t="s">
        <v>112</v>
      </c>
    </row>
    <row r="99" customFormat="false" ht="19.5" hidden="false" customHeight="true" outlineLevel="0" collapsed="false">
      <c r="A99" s="3" t="s">
        <v>118</v>
      </c>
      <c r="B99" s="19" t="n">
        <f aca="false">B94/(B92*B98)</f>
        <v>0.818713450292398</v>
      </c>
      <c r="C99" s="8" t="s">
        <v>119</v>
      </c>
    </row>
    <row r="101" customFormat="false" ht="15" hidden="false" customHeight="false" outlineLevel="0" collapsed="false">
      <c r="A101" s="14" t="s">
        <v>120</v>
      </c>
      <c r="B101" s="15" t="n">
        <f aca="false">B98*B85</f>
        <v>3309.78666666667</v>
      </c>
    </row>
    <row r="103" customFormat="false" ht="15" hidden="false" customHeight="false" outlineLevel="0" collapsed="false">
      <c r="A103" s="1" t="s">
        <v>121</v>
      </c>
      <c r="B103" s="2" t="s">
        <v>0</v>
      </c>
    </row>
    <row r="104" customFormat="false" ht="33.75" hidden="false" customHeight="true" outlineLevel="0" collapsed="false">
      <c r="A104" s="3" t="s">
        <v>122</v>
      </c>
      <c r="B104" s="5" t="n">
        <v>6.88</v>
      </c>
      <c r="C104" s="6" t="s">
        <v>123</v>
      </c>
    </row>
    <row r="105" customFormat="false" ht="33.75" hidden="false" customHeight="true" outlineLevel="0" collapsed="false">
      <c r="A105" s="3" t="s">
        <v>124</v>
      </c>
      <c r="B105" s="5" t="n">
        <v>0.44</v>
      </c>
      <c r="C105" s="6" t="s">
        <v>125</v>
      </c>
    </row>
    <row r="106" customFormat="false" ht="33.75" hidden="false" customHeight="true" outlineLevel="0" collapsed="false">
      <c r="A106" s="3" t="s">
        <v>126</v>
      </c>
      <c r="B106" s="5" t="n">
        <v>0.65</v>
      </c>
      <c r="C106" s="6" t="s">
        <v>127</v>
      </c>
    </row>
    <row r="107" customFormat="false" ht="15" hidden="false" customHeight="false" outlineLevel="0" collapsed="false">
      <c r="A107" s="3" t="s">
        <v>128</v>
      </c>
      <c r="B107" s="13" t="n">
        <f aca="false">B98*B104*730</f>
        <v>30134.4</v>
      </c>
    </row>
    <row r="108" customFormat="false" ht="15" hidden="false" customHeight="false" outlineLevel="0" collapsed="false">
      <c r="A108" s="3" t="s">
        <v>129</v>
      </c>
      <c r="B108" s="13" t="n">
        <f aca="false">B98*B104*730*(1-B105)</f>
        <v>16875.264</v>
      </c>
    </row>
    <row r="109" customFormat="false" ht="15" hidden="false" customHeight="false" outlineLevel="0" collapsed="false">
      <c r="A109" s="3" t="s">
        <v>130</v>
      </c>
      <c r="B109" s="13" t="n">
        <f aca="false">B98*B104*730*(1-B106)</f>
        <v>10547.04</v>
      </c>
    </row>
    <row r="110" customFormat="false" ht="19.5" hidden="false" customHeight="true" outlineLevel="0" collapsed="false">
      <c r="A110" s="3" t="s">
        <v>131</v>
      </c>
      <c r="B110" s="20" t="n">
        <f aca="false">B108/B101</f>
        <v>5.09859567988269</v>
      </c>
      <c r="C110" s="8" t="s">
        <v>132</v>
      </c>
    </row>
    <row r="112" customFormat="false" ht="75" hidden="false" customHeight="true" outlineLevel="0" collapsed="false">
      <c r="A112" s="21" t="s">
        <v>133</v>
      </c>
      <c r="B112" s="21"/>
      <c r="C112" s="21"/>
    </row>
  </sheetData>
  <mergeCells count="1">
    <mergeCell ref="A112:C1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2026-09-14T16:04:30Z</dcterms:created>
  <dc:creator>openpyxl</dc:creator>
  <dc:description/>
  <dc:language>en-US</dc:language>
  <cp:lastModifiedBy/>
  <dcterms:modified xsi:type="dcterms:W3CDTF">2026-09-14T16:04:30Z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